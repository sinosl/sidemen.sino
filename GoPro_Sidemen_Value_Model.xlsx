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Scorecard" sheetId="3" state="visible" r:id="rId5"/>
    <sheet name="Inputs" sheetId="4" state="visible" r:id="rId6"/>
    <sheet name="Deal_Value" sheetId="5" state="visible" r:id="rId7"/>
    <sheet name="Deal_Structure" sheetId="6" state="visible" r:id="rId8"/>
    <sheet name="Sensitivity" sheetId="7" state="visible" r:id="rId9"/>
    <sheet name="Upside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<sst xmlns="http://schemas.openxmlformats.org/spreadsheetml/2006/main" count="399" uniqueCount="341">
  <si>
    <t xml:space="preserve">GoPro x Sidemen – Partnership Value Model</t>
  </si>
  <si>
    <t xml:space="preserve">Independent, unsolicited proposal prepared by Sino Lam · Built from public data · Not affiliated with or endorsed by Sidemen, GoPro or Upside · All money in £ unless stated</t>
  </si>
  <si>
    <t xml:space="preserve">What this model answers</t>
  </si>
  <si>
    <t xml:space="preserve">1. Which brand should the Sidemen approach?  (Scorecard – ten candidate brands scored on six weighted criteria)</t>
  </si>
  <si>
    <t xml:space="preserve">2. What is a GoPro partnership worth?  (Deal_Value – media value of each asset, plus GoPro camera sales through a Sidemen code)</t>
  </si>
  <si>
    <t xml:space="preserve">3. How should the deal be structured for a brand in recovery?  (Deal_Structure – fixed fee, product and sales commission; value to each side)</t>
  </si>
  <si>
    <t xml:space="preserve">4. Which assumptions matter most?  (Sensitivity – one-way tornado and low / base / high scenarios)</t>
  </si>
  <si>
    <t xml:space="preserve">5. Which Upside portfolio companies should get Sidemen airtime, and how?  (Upside – same scorecard, plus value created per £ of airtime)</t>
  </si>
  <si>
    <t xml:space="preserve">Method</t>
  </si>
  <si>
    <t xml:space="preserve">Media value = views × cost per 1,000 views (CPM) that a brand would otherwise pay. Event placements are adjusted for how prominent the brand is in the stream and given a premium for exclusivity and live reach.</t>
  </si>
  <si>
    <t xml:space="preserve">Sales = long-form and event views × share who click the Sidemen link or code × share who buy × average order value. Only incremental sales (buyers who would not have bought anyway) count towards GoPro's gross profit.</t>
  </si>
  <si>
    <t xml:space="preserve">Value to GoPro per £1 = (media value + incremental gross profit) ÷ (fixed fee + product + commission). Above 1.0 means GoPro gets more value than it pays.</t>
  </si>
  <si>
    <t xml:space="preserve">Colour key</t>
  </si>
  <si>
    <t xml:space="preserve">Blue text = input you can change · Black = formula · Green = link to another sheet · Yellow fill = key assumption · Green fill = output</t>
  </si>
  <si>
    <t xml:space="preserve">Important limitations</t>
  </si>
  <si>
    <t xml:space="preserve">• View counts are public; sponsorship rates, click-through and conversion rates are industry benchmarks or analyst assumptions, labelled on the Inputs sheet. Real rates would come from the Sidemen's own analytics and agency rate cards.</t>
  </si>
  <si>
    <t xml:space="preserve">• Scorecard scores are the author's judgement and should be challenged; the weights can be changed on the Scorecard sheet.</t>
  </si>
  <si>
    <t xml:space="preserve">• Upside figures (value per customer, conversion) are illustrative assumptions to show the method; they would be replaced with each company's own data.</t>
  </si>
  <si>
    <t xml:space="preserve">GoPro x Sidemen – Summary</t>
  </si>
  <si>
    <t xml:space="preserve">Independent, unsolicited proposal by Sino Lam · 12-month partnership built around the next Sidemen Charity Match</t>
  </si>
  <si>
    <t xml:space="preserve">Headline</t>
  </si>
  <si>
    <t xml:space="preserve">Value</t>
  </si>
  <si>
    <t xml:space="preserve">Top-ranked brand on the scorecard</t>
  </si>
  <si>
    <t xml:space="preserve">GoPro weighted fit score (out of 5)</t>
  </si>
  <si>
    <t xml:space="preserve">Total views delivered (m)</t>
  </si>
  <si>
    <t xml:space="preserve">Media value of the package (£k)</t>
  </si>
  <si>
    <t xml:space="preserve">Cameras sold through Sidemen code</t>
  </si>
  <si>
    <t xml:space="preserve">Code sales revenue (£k)</t>
  </si>
  <si>
    <t xml:space="preserve">Total cost to GoPro (£k)</t>
  </si>
  <si>
    <t xml:space="preserve">Value to GoPro per £1 (base)</t>
  </si>
  <si>
    <t xml:space="preserve">Value to GoPro per £1 (low scenario)</t>
  </si>
  <si>
    <t xml:space="preserve">Value to GoPro per £1 (high scenario)</t>
  </si>
  <si>
    <t xml:space="preserve">Sidemen cash income (£k)</t>
  </si>
  <si>
    <t xml:space="preserve">Deal cost as % of GoPro's 2025 sales &amp; marketing</t>
  </si>
  <si>
    <t xml:space="preserve">Upside priority company</t>
  </si>
  <si>
    <t xml:space="preserve">Brand-fit scorecard: who should the Sidemen approach?</t>
  </si>
  <si>
    <t xml:space="preserve">Scores 1 (poor) to 5 (excellent) are the author's judgement; weights (blue) can be changed. Excluded up front: brands that clash with Sidemen-owned or member-owned businesses, existing partners, and categories with negative audience sentiment.</t>
  </si>
  <si>
    <t xml:space="preserve">Audience fit (18-25, UK)</t>
  </si>
  <si>
    <t xml:space="preserve">Fits naturally in videos and events</t>
  </si>
  <si>
    <t xml:space="preserve">No clash with Sidemen or member brands</t>
  </si>
  <si>
    <t xml:space="preserve">Freshness: not overused by UK creators</t>
  </si>
  <si>
    <t xml:space="preserve">Brand safety and sentiment</t>
  </si>
  <si>
    <t xml:space="preserve">Commercial need: why now</t>
  </si>
  <si>
    <t xml:space="preserve">Weighted score (out of 5)</t>
  </si>
  <si>
    <t xml:space="preserve">Score %</t>
  </si>
  <si>
    <t xml:space="preserve">Rank</t>
  </si>
  <si>
    <t xml:space="preserve">Main reason</t>
  </si>
  <si>
    <t xml:space="preserve">Weight</t>
  </si>
  <si>
    <t xml:space="preserve">GoPro</t>
  </si>
  <si>
    <t xml:space="preserve">The product films the content itself; already appears organically: players such as WillNE and Miniminter have brought their own GoPros to the Charity Match as unsponsored 'player cams'; revenue down 18.7% and marketing cut 37%, so it needs efficient reach to young buyers.</t>
  </si>
  <si>
    <t xml:space="preserve">PlayStation</t>
  </si>
  <si>
    <t xml:space="preserve">Strong gaming heritage and GTA 6 launch timing; already works with many gaming creators; depends on Sony's sponsor policy.</t>
  </si>
  <si>
    <t xml:space="preserve">IKEA</t>
  </si>
  <si>
    <t xml:space="preserve">Fun build-off formats and Sidemen house content; safe brand; less obvious reason to spend now.</t>
  </si>
  <si>
    <t xml:space="preserve">Virgin Atlantic</t>
  </si>
  <si>
    <t xml:space="preserve">Economy vs Upper Class challenges and US trips; premium price for 18-25s.</t>
  </si>
  <si>
    <t xml:space="preserve">Merlin (Thorpe Park)</t>
  </si>
  <si>
    <t xml:space="preserve">Theme-park challenges and fan experiences suit the format; seasonal, and theme parks appear regularly in UK creator content.</t>
  </si>
  <si>
    <t xml:space="preserve">Airbnb</t>
  </si>
  <si>
    <t xml:space="preserve">Cheap vs luxury stays; widely used by creators; mixed public sentiment in the UK.</t>
  </si>
  <si>
    <t xml:space="preserve">STATSports</t>
  </si>
  <si>
    <t xml:space="preserve">Original Charity Match data story, but a niche product with little consumer reach.</t>
  </si>
  <si>
    <t xml:space="preserve">Monopoly (board game)</t>
  </si>
  <si>
    <t xml:space="preserve">Game-show format fits perfectly, but Monopoly GO! (a separate mobile game) sponsors many creators and fans may confuse the two.</t>
  </si>
  <si>
    <t xml:space="preserve">Duolingo</t>
  </si>
  <si>
    <t xml:space="preserve">Proven with this audience (Chunkz and Yung Filly, 2023), so not fresh; 2025 'AI-first' backlash.</t>
  </si>
  <si>
    <t xml:space="preserve">Whoop</t>
  </si>
  <si>
    <t xml:space="preserve">Good Charity Match data angle; premium subscription; sponsors many podcasts.</t>
  </si>
  <si>
    <t xml:space="preserve">Garmin</t>
  </si>
  <si>
    <t xml:space="preserve">Safe and conflict-free, but skews older and endurance-focused.</t>
  </si>
  <si>
    <t xml:space="preserve">Inputs and assumptions</t>
  </si>
  <si>
    <t xml:space="preserve">Low / Base / High feed the Sensitivity sheet. Change blue values; everything else updates.</t>
  </si>
  <si>
    <t xml:space="preserve">ID</t>
  </si>
  <si>
    <t xml:space="preserve">Input</t>
  </si>
  <si>
    <t xml:space="preserve">Unit</t>
  </si>
  <si>
    <t xml:space="preserve">Low</t>
  </si>
  <si>
    <t xml:space="preserve">Base</t>
  </si>
  <si>
    <t xml:space="preserve">High</t>
  </si>
  <si>
    <t xml:space="preserve">Type</t>
  </si>
  <si>
    <t xml:space="preserve">Source / reasoning</t>
  </si>
  <si>
    <t xml:space="preserve">Audience (public data)</t>
  </si>
  <si>
    <t xml:space="preserve">MV</t>
  </si>
  <si>
    <t xml:space="preserve">Sidemen main-channel views per video (recent median)</t>
  </si>
  <si>
    <t xml:space="preserve">m views</t>
  </si>
  <si>
    <t xml:space="preserve">Derived</t>
  </si>
  <si>
    <t xml:space="preserve">OutlierKit lists recent outliers at 2.4× and 1.5× the recent median (20.0m and 13.0m views), implying a median of c.8.3-8.7m. vidIQ: 23.4m subscribers, 51.9m views in the last 28 days (Oct 2026).</t>
  </si>
  <si>
    <t xml:space="preserve">CMV</t>
  </si>
  <si>
    <t xml:space="preserve">Charity Match stream views</t>
  </si>
  <si>
    <t xml:space="preserve">Sourced</t>
  </si>
  <si>
    <t xml:space="preserve">2026 match (18 Apr 2026, Wembley): over 11m YouTube views, peak 2.2m concurrent viewers, £6.2m raised (Tubefilter, Apr 2026). 2025 match drew over 14m views, so the range spans both years.</t>
  </si>
  <si>
    <t xml:space="preserve">Deal package (proposal design)</t>
  </si>
  <si>
    <t xml:space="preserve">NV</t>
  </si>
  <si>
    <t xml:space="preserve">GoPro-filmed main-channel videos</t>
  </si>
  <si>
    <t xml:space="preserve">videos</t>
  </si>
  <si>
    <t xml:space="preserve">Proposal</t>
  </si>
  <si>
    <t xml:space="preserve">Three Sidemen Sunday challenges filmed on GoPro point-of-view cameras, with a natural mention and pinned link.</t>
  </si>
  <si>
    <t xml:space="preserve">EPF</t>
  </si>
  <si>
    <t xml:space="preserve">GoPro prominence in Charity Match stream</t>
  </si>
  <si>
    <t xml:space="preserve">share</t>
  </si>
  <si>
    <t xml:space="preserve">Assumption</t>
  </si>
  <si>
    <t xml:space="preserve">'Player Cam powered by GoPro' and goal replays are one of several on-screen elements, so only part of the stream's value is credited.</t>
  </si>
  <si>
    <t xml:space="preserve">EPP</t>
  </si>
  <si>
    <t xml:space="preserve">Event premium for exclusivity, live reach and press</t>
  </si>
  <si>
    <t xml:space="preserve">multiple</t>
  </si>
  <si>
    <t xml:space="preserve">Tentpole events command a premium over standard video rates: live audience, exclusivity in the category and coverage beyond YouTube.</t>
  </si>
  <si>
    <t xml:space="preserve">SC</t>
  </si>
  <si>
    <t xml:space="preserve">Short-form clips (TikTok, Shorts, Instagram)</t>
  </si>
  <si>
    <t xml:space="preserve">clips</t>
  </si>
  <si>
    <t xml:space="preserve">POV highlight clips cut from the videos and match.</t>
  </si>
  <si>
    <t xml:space="preserve">SV</t>
  </si>
  <si>
    <t xml:space="preserve">Views per short-form clip</t>
  </si>
  <si>
    <t xml:space="preserve">Analyst assumption for Sidemen short-form clips; replace with channel analytics.</t>
  </si>
  <si>
    <t xml:space="preserve">BC</t>
  </si>
  <si>
    <t xml:space="preserve">Behind-the-scenes vlogs (second channel)</t>
  </si>
  <si>
    <t xml:space="preserve">Kit-up and match-day vlogs.</t>
  </si>
  <si>
    <t xml:space="preserve">BV</t>
  </si>
  <si>
    <t xml:space="preserve">Views per behind-the-scenes vlog</t>
  </si>
  <si>
    <t xml:space="preserve">Analyst assumption for second-channel vlogs; replace with channel analytics.</t>
  </si>
  <si>
    <t xml:space="preserve">Pricing</t>
  </si>
  <si>
    <t xml:space="preserve">FX</t>
  </si>
  <si>
    <t xml:space="preserve">Exchange rate (£ per US$)</t>
  </si>
  <si>
    <t xml:space="preserve">£/$</t>
  </si>
  <si>
    <t xml:space="preserve">Approximate rate used to convert US benchmarks.</t>
  </si>
  <si>
    <t xml:space="preserve">CPMU</t>
  </si>
  <si>
    <t xml:space="preserve">Long-form sponsorship CPM (US$ per 1,000 views)</t>
  </si>
  <si>
    <t xml:space="preserve">$</t>
  </si>
  <si>
    <t xml:space="preserve">Influencer Marketing Hub: YouTube sponsorship CPMs generally $15-30 (2025-26). Upper half used for base: UK, 18-25, highly engaged mega-creator.</t>
  </si>
  <si>
    <t xml:space="preserve">CPML</t>
  </si>
  <si>
    <t xml:space="preserve">Long-form CPM in £</t>
  </si>
  <si>
    <t xml:space="preserve">£</t>
  </si>
  <si>
    <t xml:space="preserve">US$ CPM × exchange rate.</t>
  </si>
  <si>
    <t xml:space="preserve">CPMS</t>
  </si>
  <si>
    <t xml:space="preserve">Short-form CPM (£ per 1,000 views)</t>
  </si>
  <si>
    <t xml:space="preserve">Short-form views are cheaper: shorter attention and lower completion.</t>
  </si>
  <si>
    <t xml:space="preserve">Sales through the Sidemen code</t>
  </si>
  <si>
    <t xml:space="preserve">CTR</t>
  </si>
  <si>
    <t xml:space="preserve">Share of long-form/event views who visit via link or code</t>
  </si>
  <si>
    <t xml:space="preserve">%</t>
  </si>
  <si>
    <t xml:space="preserve">Typical creator link click-through for an integrated (not dedicated) mention.</t>
  </si>
  <si>
    <t xml:space="preserve">CVR</t>
  </si>
  <si>
    <t xml:space="preserve">Share of visitors who buy</t>
  </si>
  <si>
    <t xml:space="preserve">E-commerce conversion for warm, creator-referred traffic.</t>
  </si>
  <si>
    <t xml:space="preserve">AOV</t>
  </si>
  <si>
    <t xml:space="preserve">Average order value</t>
  </si>
  <si>
    <t xml:space="preserve">PriceSpy: HERO13 Black from £268.64; retail listings around £400. Base allows for discount codes and older models.</t>
  </si>
  <si>
    <t xml:space="preserve">GM</t>
  </si>
  <si>
    <t xml:space="preserve">GoPro gross margin</t>
  </si>
  <si>
    <t xml:space="preserve">GoPro FY2025 GAAP gross margin 33.6% (Q4/FY2025 results, Mar 2026).</t>
  </si>
  <si>
    <t xml:space="preserve">INC</t>
  </si>
  <si>
    <t xml:space="preserve">Share of code sales that are incremental</t>
  </si>
  <si>
    <t xml:space="preserve">Some buyers would have bought a GoPro anyway.</t>
  </si>
  <si>
    <t xml:space="preserve">Proposed deal terms</t>
  </si>
  <si>
    <t xml:space="preserve">FEE</t>
  </si>
  <si>
    <t xml:space="preserve">Fixed partnership fee (12 months)</t>
  </si>
  <si>
    <t xml:space="preserve">£k</t>
  </si>
  <si>
    <t xml:space="preserve">Set at roughly 40% of estimated media value: low fixed cost for a brand cutting marketing spend, with upside paid through commission.</t>
  </si>
  <si>
    <t xml:space="preserve">PROD</t>
  </si>
  <si>
    <t xml:space="preserve">Product and kit supplied</t>
  </si>
  <si>
    <t xml:space="preserve">Cameras, mounts and accessories for members, crew and match-day player cams.</t>
  </si>
  <si>
    <t xml:space="preserve">COM</t>
  </si>
  <si>
    <t xml:space="preserve">Commission on code sales</t>
  </si>
  <si>
    <t xml:space="preserve">Performance element: Sidemen earn more only if GoPro sells more.</t>
  </si>
  <si>
    <t xml:space="preserve">GoPro context (for scale)</t>
  </si>
  <si>
    <t xml:space="preserve">REV</t>
  </si>
  <si>
    <t xml:space="preserve">GoPro FY2025 revenue</t>
  </si>
  <si>
    <t xml:space="preserve">$m</t>
  </si>
  <si>
    <t xml:space="preserve">GoPro Q4 and FY2025 results: revenue $651.5m, down 18.7%.</t>
  </si>
  <si>
    <t xml:space="preserve">SM</t>
  </si>
  <si>
    <t xml:space="preserve">GoPro FY2025 sales &amp; marketing expense</t>
  </si>
  <si>
    <t xml:space="preserve">GoPro FY2025 results: S&amp;M $100.8m vs $160.6m in 2024. 10-K: marketing spend cut 37%.</t>
  </si>
  <si>
    <t xml:space="preserve">What a 12-month GoPro partnership is worth</t>
  </si>
  <si>
    <t xml:space="preserve">Media value is what GoPro would otherwise pay for the same attention. All values £k.</t>
  </si>
  <si>
    <t xml:space="preserve">Asset</t>
  </si>
  <si>
    <t xml:space="preserve">Units</t>
  </si>
  <si>
    <t xml:space="preserve">Views per unit (m)</t>
  </si>
  <si>
    <t xml:space="preserve">Total views (m)</t>
  </si>
  <si>
    <t xml:space="preserve">CPM (£)</t>
  </si>
  <si>
    <t xml:space="preserve">Prominence</t>
  </si>
  <si>
    <t xml:space="preserve">Event premium</t>
  </si>
  <si>
    <t xml:space="preserve">Media value (£k)</t>
  </si>
  <si>
    <t xml:space="preserve">Share</t>
  </si>
  <si>
    <t xml:space="preserve">GoPro-filmed Sidemen Sunday challenges</t>
  </si>
  <si>
    <t xml:space="preserve">Charity Match: 'Player Cam powered by GoPro'</t>
  </si>
  <si>
    <t xml:space="preserve">Short-form POV clips</t>
  </si>
  <si>
    <t xml:space="preserve">Behind-the-scenes vlogs</t>
  </si>
  <si>
    <t xml:space="preserve">Total media value</t>
  </si>
  <si>
    <t xml:space="preserve">Camera sales through the Sidemen code</t>
  </si>
  <si>
    <t xml:space="preserve">Views that can drive sales (long-form + event, prominence-adjusted), m</t>
  </si>
  <si>
    <t xml:space="preserve">Visitors via link or code</t>
  </si>
  <si>
    <t xml:space="preserve">Buyers</t>
  </si>
  <si>
    <t xml:space="preserve">Incremental revenue (£k)</t>
  </si>
  <si>
    <t xml:space="preserve">Incremental gross profit to GoPro (£k)</t>
  </si>
  <si>
    <t xml:space="preserve">Check: media value matches closed-form formula (should be 0)</t>
  </si>
  <si>
    <t xml:space="preserve">Check: code revenue matches closed-form formula (should be 0)</t>
  </si>
  <si>
    <t xml:space="preserve">Deal structure: built for a brand in recovery</t>
  </si>
  <si>
    <t xml:space="preserve">Low fixed fee + product + commission on sales. GoPro only pays more when the partnership sells more cameras.</t>
  </si>
  <si>
    <t xml:space="preserve">GoPro pays</t>
  </si>
  <si>
    <t xml:space="preserve">Notes</t>
  </si>
  <si>
    <t xml:space="preserve">Fixed partnership fee</t>
  </si>
  <si>
    <t xml:space="preserve">Paid in instalments: signing, Charity Match, final video</t>
  </si>
  <si>
    <t xml:space="preserve">Product and kit</t>
  </si>
  <si>
    <t xml:space="preserve">Valued at retail; low cash cost to GoPro</t>
  </si>
  <si>
    <t xml:space="preserve">Performance element</t>
  </si>
  <si>
    <t xml:space="preserve">Total cost to GoPro</t>
  </si>
  <si>
    <t xml:space="preserve">GoPro receives</t>
  </si>
  <si>
    <t xml:space="preserve">Media value of Sidemen content</t>
  </si>
  <si>
    <t xml:space="preserve">What the same attention would cost elsewhere</t>
  </si>
  <si>
    <t xml:space="preserve">Incremental gross profit on code sales</t>
  </si>
  <si>
    <t xml:space="preserve">Only sales that would not have happened anyway</t>
  </si>
  <si>
    <t xml:space="preserve">Total value to GoPro</t>
  </si>
  <si>
    <t xml:space="preserve">Key results</t>
  </si>
  <si>
    <t xml:space="preserve">What it means</t>
  </si>
  <si>
    <t xml:space="preserve">Value to GoPro per £1 spent</t>
  </si>
  <si>
    <t xml:space="preserve">Above 1.0x: GoPro gets more than it pays</t>
  </si>
  <si>
    <t xml:space="preserve">Fixed fee as % of media value</t>
  </si>
  <si>
    <t xml:space="preserve">A discount to market rate in exchange for performance upside</t>
  </si>
  <si>
    <t xml:space="preserve">Code sales: gross profit covers what share of GoPro's cost</t>
  </si>
  <si>
    <t xml:space="preserve">Direct payback before counting brand value</t>
  </si>
  <si>
    <t xml:space="preserve">Sidemen cash income (fee + commission)</t>
  </si>
  <si>
    <t xml:space="preserve">Plus product for content</t>
  </si>
  <si>
    <t xml:space="preserve">Deal cost as % of GoPro's annual S&amp;M budget</t>
  </si>
  <si>
    <t xml:space="preserve">Small, testable spend for GoPro</t>
  </si>
  <si>
    <t xml:space="preserve">Cameras sold through the code</t>
  </si>
  <si>
    <t xml:space="preserve">Trackable outcome</t>
  </si>
  <si>
    <t xml:space="preserve">Effective cost per 1,000 views (all assets)</t>
  </si>
  <si>
    <t xml:space="preserve">Compare: long-form market CPM on Inputs</t>
  </si>
  <si>
    <t xml:space="preserve">Check: value per £1 matches closed-form formula (should be 0)</t>
  </si>
  <si>
    <t xml:space="preserve">Scenarios (all uncertain inputs at Low / Base / High)</t>
  </si>
  <si>
    <t xml:space="preserve">Result</t>
  </si>
  <si>
    <t xml:space="preserve">Total value to GoPro (£k)</t>
  </si>
  <si>
    <t xml:space="preserve">Value to GoPro per £1</t>
  </si>
  <si>
    <t xml:space="preserve">The low scenario sets every uncertain input to its low value at once, so it is a deliberately harsh stress test.</t>
  </si>
  <si>
    <t xml:space="preserve">Sensitivity: what moves GoPro's value per £1?</t>
  </si>
  <si>
    <t xml:space="preserve">Each input moved to its Low and High value while all others stay at Base.</t>
  </si>
  <si>
    <t xml:space="preserve">Base value per £1:</t>
  </si>
  <si>
    <t xml:space="preserve">Value per £1 at low</t>
  </si>
  <si>
    <t xml:space="preserve">Value per £1 at high</t>
  </si>
  <si>
    <t xml:space="preserve">Change at low</t>
  </si>
  <si>
    <t xml:space="preserve">Change at high</t>
  </si>
  <si>
    <t xml:space="preserve">Swing</t>
  </si>
  <si>
    <t xml:space="preserve">Rows ordered by swing (smallest first) so the biggest driver sits at the top of the tornado chart.</t>
  </si>
  <si>
    <t xml:space="preserve">Upside portfolio: which companies should get Sidemen airtime, and how?</t>
  </si>
  <si>
    <t xml:space="preserve">Upside makes Sidemen inventory available to portfolio companies free of charge, so the cost is the income that airtime could have earned from a paying brand. Customer and value inputs are illustrative assumptions to replace with each company's data.</t>
  </si>
  <si>
    <t xml:space="preserve">Howbout</t>
  </si>
  <si>
    <t xml:space="preserve">Nimbi</t>
  </si>
  <si>
    <t xml:space="preserve">Ceartas</t>
  </si>
  <si>
    <t xml:space="preserve">What it does</t>
  </si>
  <si>
    <t xml:space="preserve">Social calendar app for planning with friends</t>
  </si>
  <si>
    <t xml:space="preserve">Plastic-free razor (RRP $1.50)</t>
  </si>
  <si>
    <t xml:space="preserve">AI copyright and piracy protection for creators</t>
  </si>
  <si>
    <t xml:space="preserve">Public sources: TechCrunch 2024; FounderMade; Silicon Republic 2024</t>
  </si>
  <si>
    <t xml:space="preserve">Stage and scale</t>
  </si>
  <si>
    <t xml:space="preserve">4m+ users; majority aged 25 or under; $8m Series A (2024)</t>
  </si>
  <si>
    <t xml:space="preserve">Early-stage consumer brand</t>
  </si>
  <si>
    <t xml:space="preserve">$4.5m seed co-led by Upside (2024)</t>
  </si>
  <si>
    <t xml:space="preserve">Proposed integration</t>
  </si>
  <si>
    <t xml:space="preserve">Charity Match watch-party planner + 'plan a Sidemen Sunday' shorts</t>
  </si>
  <si>
    <t xml:space="preserve">Changing-room segment in a match-day vlog + shorts</t>
  </si>
  <si>
    <t xml:space="preserve">Protect the Charity Match stream from piracy; behind-the-scenes segment</t>
  </si>
  <si>
    <t xml:space="preserve">Placed in cheaper inventory: shorts, vlogs, event moments</t>
  </si>
  <si>
    <t xml:space="preserve">Scorecard (same weights as brand scorecard)</t>
  </si>
  <si>
    <t xml:space="preserve">Value of airtime (inputs in blue)</t>
  </si>
  <si>
    <t xml:space="preserve">Long-form / event views allocated (m)</t>
  </si>
  <si>
    <t xml:space="preserve">Event mentions are prominence-adjusted views</t>
  </si>
  <si>
    <t xml:space="preserve">Short-form views allocated (m)</t>
  </si>
  <si>
    <t xml:space="preserve">Share of viewers who visit or install</t>
  </si>
  <si>
    <t xml:space="preserve">Assumption: free app install is low-friction; razor and B2B service much less so</t>
  </si>
  <si>
    <t xml:space="preserve">Share of visitors who become customers or users</t>
  </si>
  <si>
    <t xml:space="preserve">Value per customer (£)</t>
  </si>
  <si>
    <t xml:space="preserve">Howbout: app install cost avoided; Nimbi: first-year gross profit; Ceartas: annual subscription (all assumptions)</t>
  </si>
  <si>
    <t xml:space="preserve">Customers or users gained</t>
  </si>
  <si>
    <t xml:space="preserve">Value created for the company (£k)</t>
  </si>
  <si>
    <t xml:space="preserve">Cost: income the airtime could earn from a paying brand (£k)</t>
  </si>
  <si>
    <t xml:space="preserve">Value created per £1 of airtime</t>
  </si>
  <si>
    <t xml:space="preserve">Effective cost per customer (£)</t>
  </si>
  <si>
    <t xml:space="preserve">Recommended approach</t>
  </si>
  <si>
    <t xml:space="preserve">Priority 1. Highest score and best value per £ of airtime: a free app that fits how Sidemen fans already plan watch-parties and meet-ups. Use event moments and shorts, not main-video slots.</t>
  </si>
  <si>
    <t xml:space="preserve">Priority 2. Low-cost inventory only (shorts, vlog segments). A low-price product needs many buyers, so main-video airtime would cost more than it creates.</t>
  </si>
  <si>
    <t xml:space="preserve">Use it, don't advertise it. Its customers are creators, not fans, so views barely convert. Better value: protect the Charity Match stream and clips from piracy, then publish the results as a case study.</t>
  </si>
  <si>
    <t xml:space="preserve">Sources</t>
  </si>
  <si>
    <t xml:space="preserve">#</t>
  </si>
  <si>
    <t xml:space="preserve">Used for</t>
  </si>
  <si>
    <t xml:space="preserve">Reference</t>
  </si>
  <si>
    <t xml:space="preserve">Link</t>
  </si>
  <si>
    <t xml:space="preserve">Sidemen channel: 23.4m subscribers, 51.9m views in 28 days, 515 videos</t>
  </si>
  <si>
    <t xml:space="preserve">vidIQ channel stats (Oct 2026)</t>
  </si>
  <si>
    <t xml:space="preserve">https://vidiq.com/youtube-stats/channel/@sidemen/</t>
  </si>
  <si>
    <t xml:space="preserve">Recent outlier videos and their multiple of the recent median</t>
  </si>
  <si>
    <t xml:space="preserve">OutlierKit channel analysis</t>
  </si>
  <si>
    <t xml:space="preserve">https://outlierkit.com/channel/sidemen</t>
  </si>
  <si>
    <t xml:space="preserve">Charity Match views, live viewers, attendance and money raised (2025, 2026)</t>
  </si>
  <si>
    <t xml:space="preserve">Wikipedia, Sidemen Charity Match</t>
  </si>
  <si>
    <t xml:space="preserve">https://en.wikipedia.org/wiki/Sidemen_Charity_Match</t>
  </si>
  <si>
    <t xml:space="preserve">2026 Charity Match: over 11m views, peak 2.2m concurrent, £6.2m raised</t>
  </si>
  <si>
    <t xml:space="preserve">Tubefilter (Apr 2026)</t>
  </si>
  <si>
    <t xml:space="preserve">https://www.tubefilter.com/2026/04/20/sidemen-charity-soccer-football-match-2026-results-highlights/</t>
  </si>
  <si>
    <t xml:space="preserve">2025 Charity Match peak of 2.5m concurrent viewers, £4.7m raised</t>
  </si>
  <si>
    <t xml:space="preserve">Tubefilter (Mar 2025)</t>
  </si>
  <si>
    <t xml:space="preserve">https://www.tubefilter.com/?p=185173</t>
  </si>
  <si>
    <t xml:space="preserve">FotMob and Opta as 2025 Charity Match partners</t>
  </si>
  <si>
    <t xml:space="preserve">Mobile Marketing Magazine</t>
  </si>
  <si>
    <t xml:space="preserve">https://mobilemarketingmagazine.com/?p=126104</t>
  </si>
  <si>
    <t xml:space="preserve">YouTube sponsorship CPM of $15-30</t>
  </si>
  <si>
    <t xml:space="preserve">Influencer Marketing Hub, YouTube Influencer Rates (2026)</t>
  </si>
  <si>
    <t xml:space="preserve">https://influencermarketinghub.com/youtube-influencer-rates</t>
  </si>
  <si>
    <t xml:space="preserve">GoPro FY2025 revenue, gross margin, sales &amp; marketing, units, subscribers</t>
  </si>
  <si>
    <t xml:space="preserve">GoPro Q4 and FY2025 results (Mar 2026)</t>
  </si>
  <si>
    <t xml:space="preserve">https://investor.gopro.com/press-releases/press-release-details/2026/GoPro-Announces-Fourth-Quarter-and-2025-Results/</t>
  </si>
  <si>
    <t xml:space="preserve">Marketing spend cut 37%; influencer and athlete marketing approach</t>
  </si>
  <si>
    <t xml:space="preserve">GoPro Form 10-K FY2025</t>
  </si>
  <si>
    <t xml:space="preserve">https://www.sec.gov/Archives/edgar/data/1500435/000150043526000006/gpro-20251231.htm</t>
  </si>
  <si>
    <t xml:space="preserve">GoPro Q3 2025 revenue down 37%; turnaround strategy</t>
  </si>
  <si>
    <t xml:space="preserve">Bicycle Retailer (Nov 2025)</t>
  </si>
  <si>
    <t xml:space="preserve">https://bicycleretailer.com/industry-news/2025/11/07/retail-and-online-sales-dip-overall-gopro-revenue-declines-37-year-over</t>
  </si>
  <si>
    <t xml:space="preserve">GoPro HERO13 Black UK prices</t>
  </si>
  <si>
    <t xml:space="preserve">PriceSpy UK</t>
  </si>
  <si>
    <t xml:space="preserve">https://pricespy.co.uk/s/gopro-13-black/</t>
  </si>
  <si>
    <t xml:space="preserve">Upside fund, partners and use of Sidemen promotion</t>
  </si>
  <si>
    <t xml:space="preserve">Tubefilter (May 2025)</t>
  </si>
  <si>
    <t xml:space="preserve">https://www.tubefilter.com/2025/05/15/sidemen-venture-capital-firm-upside-invest-creator-economy/</t>
  </si>
  <si>
    <t xml:space="preserve">Named portfolio companies; inventory free of charge to portfolio</t>
  </si>
  <si>
    <t xml:space="preserve">Think Like A Creator</t>
  </si>
  <si>
    <t xml:space="preserve">https://thinklikeacreator.beehiiv.com/p/the-sidemen-just-launched-a-25m-vc-fund</t>
  </si>
  <si>
    <t xml:space="preserve">Howbout users, age profile and funding</t>
  </si>
  <si>
    <t xml:space="preserve">TechCrunch (Sep 2024)</t>
  </si>
  <si>
    <t xml:space="preserve">https://techcrunch.com/2024/09/13/howbout-raises-8m-from-goodwater-to-build-a-calendar-that-you-can-share-with-your-friends</t>
  </si>
  <si>
    <t xml:space="preserve">Ceartas product and $4.5m seed co-led by Upside</t>
  </si>
  <si>
    <t xml:space="preserve">Silicon Republic (May 2024)</t>
  </si>
  <si>
    <t xml:space="preserve">https://siliconrepublic.com/?p=1076774</t>
  </si>
  <si>
    <t xml:space="preserve">Nimbi product and price</t>
  </si>
  <si>
    <t xml:space="preserve">FounderMade</t>
  </si>
  <si>
    <t xml:space="preserve">https://www.foundermade.com/brands-resources/nimbi</t>
  </si>
  <si>
    <t xml:space="preserve">Duolingo campaign with Chunkz and Yung Filly (2023)</t>
  </si>
  <si>
    <t xml:space="preserve">Hello Partner</t>
  </si>
  <si>
    <t xml:space="preserve">https://hellopartner.com/best-brand-engagement-campaign-digital-voices-duolingo/</t>
  </si>
  <si>
    <t xml:space="preserve">Monopoly GO! creator sponsorships</t>
  </si>
  <si>
    <t xml:space="preserve">Modash content library</t>
  </si>
  <si>
    <t xml:space="preserve">https://www.modash.io/content-library/brands/monopoly-go-examples</t>
  </si>
  <si>
    <t xml:space="preserve">Whoop official supplier to British &amp; Irish Lions (2025)</t>
  </si>
  <si>
    <t xml:space="preserve">Whoop press centre</t>
  </si>
  <si>
    <t xml:space="preserve">https://www.whoop.com/us/en/press-center/whoop-r-joins-the-british-and-irish-lions-as-official-supplier-for-the-qatar/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</si>
</sst>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@"/>
    <numFmt numFmtId="166" formatCode="0.00"/>
    <numFmt numFmtId="167" formatCode="0.0\m"/>
    <numFmt numFmtId="168" formatCode="\£#,##0\k;&quot;(£&quot;#,##0&quot;k)&quot;;\-"/>
    <numFmt numFmtId="169" formatCode="#,##0"/>
    <numFmt numFmtId="170" formatCode="0.00\x"/>
    <numFmt numFmtId="171" formatCode="0.00%;\(0.00%\);\-"/>
    <numFmt numFmtId="172" formatCode="0%"/>
    <numFmt numFmtId="173" formatCode="General"/>
    <numFmt numFmtId="174" formatCode="0"/>
    <numFmt numFmtId="175" formatCode="0.0%;\(0.0%\);\-"/>
    <numFmt numFmtId="176" formatCode="0.0\x"/>
    <numFmt numFmtId="177" formatCode="\$#,##0"/>
    <numFmt numFmtId="178" formatCode="\£#,##0.00"/>
    <numFmt numFmtId="179" formatCode="\$#,##0.0\m"/>
    <numFmt numFmtId="180" formatCode="\£0.00"/>
    <numFmt numFmtId="181" formatCode="\+0.00\x;\-0.00\x"/>
    <numFmt numFmtId="182" formatCode="\£#,##0"/>
    <numFmt numFmtId="183" formatCode="\£#,##0.0\k;&quot;(£&quot;#,##0.0&quot;k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color rgb="FF16181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181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4D6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618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brand-fit score (out of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Scorecard!H4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Scorecard!$A$5:$A$15</c:f>
              <c:strCache>
                <c:ptCount val="11"/>
                <c:pt idx="0">
                  <c:v>GoPro</c:v>
                </c:pt>
                <c:pt idx="1">
                  <c:v>PlayStation</c:v>
                </c:pt>
                <c:pt idx="2">
                  <c:v>IKEA</c:v>
                </c:pt>
                <c:pt idx="3">
                  <c:v>Virgin Atlantic</c:v>
                </c:pt>
                <c:pt idx="4">
                  <c:v>Merlin (Thorpe Park)</c:v>
                </c:pt>
                <c:pt idx="5">
                  <c:v>Airbnb</c:v>
                </c:pt>
                <c:pt idx="6">
                  <c:v>STATSports</c:v>
                </c:pt>
                <c:pt idx="7">
                  <c:v>Monopoly (board game)</c:v>
                </c:pt>
                <c:pt idx="8">
                  <c:v>Duolingo</c:v>
                </c:pt>
                <c:pt idx="9">
                  <c:v>Whoop</c:v>
                </c:pt>
                <c:pt idx="10">
                  <c:v>Garmin</c:v>
                </c:pt>
              </c:strCache>
            </c:strRef>
          </c:cat>
          <c:val>
            <c:numRef>
              <c:f>Scorecard!$H$5:$H$15</c:f>
              <c:numCache>
                <c:formatCode>0.00</c:formatCode>
                <c:ptCount val="11"/>
                <c:pt idx="0">
                  <c:v>4.55</c:v>
                </c:pt>
                <c:pt idx="1">
                  <c:v>4.05</c:v>
                </c:pt>
                <c:pt idx="2">
                  <c:v>3.9</c:v>
                </c:pt>
                <c:pt idx="3">
                  <c:v>3.8</c:v>
                </c:pt>
                <c:pt idx="4">
                  <c:v>3.85</c:v>
                </c:pt>
                <c:pt idx="5">
                  <c:v>3.75</c:v>
                </c:pt>
                <c:pt idx="6">
                  <c:v>3.7</c:v>
                </c:pt>
                <c:pt idx="7">
                  <c:v>3.6</c:v>
                </c:pt>
                <c:pt idx="8">
                  <c:v>3.55</c:v>
                </c:pt>
                <c:pt idx="9">
                  <c:v>3.5</c:v>
                </c:pt>
                <c:pt idx="10">
                  <c:v>3.3</c:v>
                </c:pt>
              </c:numCache>
            </c:numRef>
          </c:val>
        </c:ser>
        <c:gapWidth val="150"/>
        <c:overlap val="0"/>
        <c:axId val="42077512"/>
        <c:axId val="95599699"/>
      </c:barChart>
      <c:catAx>
        <c:axId val="4207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99699"/>
        <c:crosses val="autoZero"/>
        <c:auto val="1"/>
        <c:lblAlgn val="ctr"/>
        <c:lblOffset val="100"/>
        <c:noMultiLvlLbl val="0"/>
      </c:catAx>
      <c:valAx>
        <c:axId val="95599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77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 value by asset (£k)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Deal_Value!H4</c:f>
              <c:strCache>
                <c:ptCount val="1"/>
                <c:pt idx="0">
                  <c:v>Media value (£k)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Deal_Value!$A$5:$A$8</c:f>
              <c:strCache>
                <c:ptCount val="4"/>
                <c:pt idx="0">
                  <c:v>GoPro-filmed Sidemen Sunday challenges</c:v>
                </c:pt>
                <c:pt idx="1">
                  <c:v>Charity Match: 'Player Cam powered by GoPro'</c:v>
                </c:pt>
                <c:pt idx="2">
                  <c:v>Short-form POV clips</c:v>
                </c:pt>
                <c:pt idx="3">
                  <c:v>Behind-the-scenes vlogs</c:v>
                </c:pt>
              </c:strCache>
            </c:strRef>
          </c:cat>
          <c:val>
            <c:numRef>
              <c:f>Deal_Value!$H$5:$H$8</c:f>
              <c:numCache>
                <c:formatCode>\£#,##0\k;"(£"#,##0"k)";\-</c:formatCode>
                <c:ptCount val="4"/>
                <c:pt idx="0">
                  <c:v>459</c:v>
                </c:pt>
                <c:pt idx="1">
                  <c:v>148.5</c:v>
                </c:pt>
                <c:pt idx="2">
                  <c:v>120</c:v>
                </c:pt>
                <c:pt idx="3">
                  <c:v>108</c:v>
                </c:pt>
              </c:numCache>
            </c:numRef>
          </c:val>
        </c:ser>
        <c:gapWidth val="150"/>
        <c:overlap val="0"/>
        <c:axId val="44475547"/>
        <c:axId val="38064915"/>
      </c:barChart>
      <c:catAx>
        <c:axId val="44475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64915"/>
        <c:crosses val="autoZero"/>
        <c:auto val="1"/>
        <c:lblAlgn val="ctr"/>
        <c:lblOffset val="100"/>
        <c:noMultiLvlLbl val="0"/>
      </c:catAx>
      <c:valAx>
        <c:axId val="38064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\k;&quot;(£&quot;#,##0&quot;k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75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GoPro value per £1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Sensitivity!F4</c:f>
              <c:strCache>
                <c:ptCount val="1"/>
                <c:pt idx="0">
                  <c:v>Change at 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Sensitivity!$A$5:$A$16</c:f>
              <c:strCache>
                <c:ptCount val="12"/>
                <c:pt idx="0">
                  <c:v>Average order value</c:v>
                </c:pt>
                <c:pt idx="1">
                  <c:v>Share of visitors who buy</c:v>
                </c:pt>
                <c:pt idx="2">
                  <c:v>Share of long-form/event views who visit via link or code</c:v>
                </c:pt>
                <c:pt idx="3">
                  <c:v>Views per behind-the-scenes vlog</c:v>
                </c:pt>
                <c:pt idx="4">
                  <c:v>Charity Match stream views</c:v>
                </c:pt>
                <c:pt idx="5">
                  <c:v>Share of code sales that are incremental</c:v>
                </c:pt>
                <c:pt idx="6">
                  <c:v>Event premium for exclusivity, live reach and press</c:v>
                </c:pt>
                <c:pt idx="7">
                  <c:v>Short-form CPM (£ per 1,000 views)</c:v>
                </c:pt>
                <c:pt idx="8">
                  <c:v>GoPro prominence in Charity Match stream</c:v>
                </c:pt>
                <c:pt idx="9">
                  <c:v>Views per short-form clip</c:v>
                </c:pt>
                <c:pt idx="10">
                  <c:v>Sidemen main-channel views per video (recent median)</c:v>
                </c:pt>
                <c:pt idx="11">
                  <c:v>Long-form sponsorship CPM (US$ per 1,000 views)</c:v>
                </c:pt>
              </c:strCache>
            </c:strRef>
          </c:cat>
          <c:val>
            <c:numRef>
              <c:f>Sensitivity!$F$5:$F$16</c:f>
              <c:numCache>
                <c:formatCode>\+0.00\x;\-0.00\x</c:formatCode>
                <c:ptCount val="12"/>
                <c:pt idx="0">
                  <c:v>-0.00446258467283434</c:v>
                </c:pt>
                <c:pt idx="1">
                  <c:v>-0.00915322961209775</c:v>
                </c:pt>
                <c:pt idx="2">
                  <c:v>-0.0140898757742574</c:v>
                </c:pt>
                <c:pt idx="3">
                  <c:v>-0.0808935611038106</c:v>
                </c:pt>
                <c:pt idx="4">
                  <c:v>-0.0902921070390388</c:v>
                </c:pt>
                <c:pt idx="5">
                  <c:v>-0.0980183968462547</c:v>
                </c:pt>
                <c:pt idx="6">
                  <c:v>-0.108409986859396</c:v>
                </c:pt>
                <c:pt idx="7">
                  <c:v>-0.131406044678055</c:v>
                </c:pt>
                <c:pt idx="8">
                  <c:v>-0.132797060573588</c:v>
                </c:pt>
                <c:pt idx="9">
                  <c:v>-0.122645641699518</c:v>
                </c:pt>
                <c:pt idx="10">
                  <c:v>-0.310128496784244</c:v>
                </c:pt>
                <c:pt idx="11">
                  <c:v>-0.587631406044678</c:v>
                </c:pt>
              </c:numCache>
            </c:numRef>
          </c:val>
        </c:ser>
        <c:ser>
          <c:idx val="1"/>
          <c:order val="1"/>
          <c:tx>
            <c:strRef>
              <c:f>Sensitivity!G4</c:f>
              <c:strCache>
                <c:ptCount val="1"/>
                <c:pt idx="0">
                  <c:v>Change at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Sensitivity!$A$5:$A$16</c:f>
              <c:strCache>
                <c:ptCount val="12"/>
                <c:pt idx="0">
                  <c:v>Average order value</c:v>
                </c:pt>
                <c:pt idx="1">
                  <c:v>Share of visitors who buy</c:v>
                </c:pt>
                <c:pt idx="2">
                  <c:v>Share of long-form/event views who visit via link or code</c:v>
                </c:pt>
                <c:pt idx="3">
                  <c:v>Views per behind-the-scenes vlog</c:v>
                </c:pt>
                <c:pt idx="4">
                  <c:v>Charity Match stream views</c:v>
                </c:pt>
                <c:pt idx="5">
                  <c:v>Share of code sales that are incremental</c:v>
                </c:pt>
                <c:pt idx="6">
                  <c:v>Event premium for exclusivity, live reach and press</c:v>
                </c:pt>
                <c:pt idx="7">
                  <c:v>Short-form CPM (£ per 1,000 views)</c:v>
                </c:pt>
                <c:pt idx="8">
                  <c:v>GoPro prominence in Charity Match stream</c:v>
                </c:pt>
                <c:pt idx="9">
                  <c:v>Views per short-form clip</c:v>
                </c:pt>
                <c:pt idx="10">
                  <c:v>Sidemen main-channel views per video (recent median)</c:v>
                </c:pt>
                <c:pt idx="11">
                  <c:v>Long-form sponsorship CPM (US$ per 1,000 views)</c:v>
                </c:pt>
              </c:strCache>
            </c:strRef>
          </c:cat>
          <c:val>
            <c:numRef>
              <c:f>Sensitivity!$G$5:$G$16</c:f>
              <c:numCache>
                <c:formatCode>\+0.00\x;\-0.00\x</c:formatCode>
                <c:ptCount val="12"/>
                <c:pt idx="0">
                  <c:v>0.0083044338836582</c:v>
                </c:pt>
                <c:pt idx="1">
                  <c:v>0.0158729059620577</c:v>
                </c:pt>
                <c:pt idx="2">
                  <c:v>0.0227990994466478</c:v>
                </c:pt>
                <c:pt idx="3">
                  <c:v>0.0796279512821085</c:v>
                </c:pt>
                <c:pt idx="4">
                  <c:v>0.0892305407903762</c:v>
                </c:pt>
                <c:pt idx="5">
                  <c:v>0.0980183968462551</c:v>
                </c:pt>
                <c:pt idx="6">
                  <c:v>0.108409986859396</c:v>
                </c:pt>
                <c:pt idx="7">
                  <c:v>0.131406044678055</c:v>
                </c:pt>
                <c:pt idx="8">
                  <c:v>0.130513421699733</c:v>
                </c:pt>
                <c:pt idx="9">
                  <c:v>0.17520805957074</c:v>
                </c:pt>
                <c:pt idx="10">
                  <c:v>0.404595397886725</c:v>
                </c:pt>
                <c:pt idx="11">
                  <c:v>0.391754270696452</c:v>
                </c:pt>
              </c:numCache>
            </c:numRef>
          </c:val>
        </c:ser>
        <c:gapWidth val="40"/>
        <c:overlap val="100"/>
        <c:axId val="96194981"/>
        <c:axId val="99679306"/>
      </c:barChart>
      <c:catAx>
        <c:axId val="96194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79306"/>
        <c:crosses val="autoZero"/>
        <c:auto val="1"/>
        <c:lblAlgn val="ctr"/>
        <c:lblOffset val="100"/>
        <c:noMultiLvlLbl val="0"/>
      </c:catAx>
      <c:valAx>
        <c:axId val="9967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0\x;\-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949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created per £1 of airtime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Upside!$B$4:$D$4</c:f>
              <c:strCache>
                <c:ptCount val="3"/>
                <c:pt idx="0">
                  <c:v>Howbout</c:v>
                </c:pt>
                <c:pt idx="1">
                  <c:v>Nimbi</c:v>
                </c:pt>
                <c:pt idx="2">
                  <c:v>Ceartas</c:v>
                </c:pt>
              </c:strCache>
            </c:strRef>
          </c:cat>
          <c:val>
            <c:numRef>
              <c:f>Upside!$B$28:$D$28</c:f>
              <c:numCache>
                <c:formatCode>0.00\x</c:formatCode>
                <c:ptCount val="3"/>
                <c:pt idx="0">
                  <c:v>1.01052631578947</c:v>
                </c:pt>
                <c:pt idx="1">
                  <c:v>0.24</c:v>
                </c:pt>
                <c:pt idx="2">
                  <c:v>0.333333333333333</c:v>
                </c:pt>
              </c:numCache>
            </c:numRef>
          </c:val>
        </c:ser>
        <c:gapWidth val="150"/>
        <c:overlap val="0"/>
        <c:axId val="62767271"/>
        <c:axId val="2503945"/>
      </c:barChart>
      <c:catAx>
        <c:axId val="6276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3945"/>
        <c:crosses val="autoZero"/>
        <c:auto val="1"/>
        <c:lblAlgn val="ctr"/>
        <c:lblOffset val="100"/>
        <c:noMultiLvlLbl val="0"/>
      </c:catAx>
      <c:valAx>
        <c:axId val="2503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67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5</xdr:col>
      <xdr:colOff>699840</xdr:colOff>
      <xdr:row>31</xdr:row>
      <xdr:rowOff>182880</xdr:rowOff>
    </xdr:to>
    <xdr:graphicFrame>
      <xdr:nvGraphicFramePr>
        <xdr:cNvPr id="0" name="Chart 1"/>
        <xdr:cNvGraphicFramePr/>
      </xdr:nvGraphicFramePr>
      <xdr:xfrm>
        <a:off x="0" y="57531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364320</xdr:colOff>
      <xdr:row>15</xdr:row>
      <xdr:rowOff>91440</xdr:rowOff>
    </xdr:to>
    <xdr:graphicFrame>
      <xdr:nvGraphicFramePr>
        <xdr:cNvPr id="1" name="Chart 1"/>
        <xdr:cNvGraphicFramePr/>
      </xdr:nvGraphicFramePr>
      <xdr:xfrm>
        <a:off x="10549800" y="5716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48240</xdr:rowOff>
    </xdr:from>
    <xdr:to>
      <xdr:col>5</xdr:col>
      <xdr:colOff>871200</xdr:colOff>
      <xdr:row>37</xdr:row>
      <xdr:rowOff>28440</xdr:rowOff>
    </xdr:to>
    <xdr:graphicFrame>
      <xdr:nvGraphicFramePr>
        <xdr:cNvPr id="2" name="Chart 1"/>
        <xdr:cNvGraphicFramePr/>
      </xdr:nvGraphicFramePr>
      <xdr:xfrm>
        <a:off x="0" y="3619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147600</xdr:colOff>
      <xdr:row>10</xdr:row>
      <xdr:rowOff>70560</xdr:rowOff>
    </xdr:to>
    <xdr:graphicFrame>
      <xdr:nvGraphicFramePr>
        <xdr:cNvPr id="3" name="Chart 1"/>
        <xdr:cNvGraphicFramePr/>
      </xdr:nvGraphicFramePr>
      <xdr:xfrm>
        <a:off x="1315800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vidiq.com/youtube-stats/channel/@sidemen/" TargetMode="External"/><Relationship Id="rId2" Type="http://schemas.openxmlformats.org/officeDocument/2006/relationships/hyperlink" Target="https://outlierkit.com/channel/sidemen" TargetMode="External"/><Relationship Id="rId3" Type="http://schemas.openxmlformats.org/officeDocument/2006/relationships/hyperlink" Target="https://en.wikipedia.org/wiki/Sidemen_Charity_Match" TargetMode="External"/><Relationship Id="rId4" Type="http://schemas.openxmlformats.org/officeDocument/2006/relationships/hyperlink" Target="https://www.tubefilter.com/2026/04/20/sidemen-charity-soccer-football-match-2026-results-highlights/" TargetMode="External"/><Relationship Id="rId5" Type="http://schemas.openxmlformats.org/officeDocument/2006/relationships/hyperlink" Target="https://www.tubefilter.com/?p=185173" TargetMode="External"/><Relationship Id="rId6" Type="http://schemas.openxmlformats.org/officeDocument/2006/relationships/hyperlink" Target="https://mobilemarketingmagazine.com/?p=126104" TargetMode="External"/><Relationship Id="rId7" Type="http://schemas.openxmlformats.org/officeDocument/2006/relationships/hyperlink" Target="https://influencermarketinghub.com/youtube-influencer-rates" TargetMode="External"/><Relationship Id="rId8" Type="http://schemas.openxmlformats.org/officeDocument/2006/relationships/hyperlink" Target="https://investor.gopro.com/press-releases/press-release-details/2026/GoPro-Announces-Fourth-Quarter-and-2025-Results/" TargetMode="External"/><Relationship Id="rId9" Type="http://schemas.openxmlformats.org/officeDocument/2006/relationships/hyperlink" Target="https://www.sec.gov/Archives/edgar/data/1500435/000150043526000006/gpro-20251231.htm" TargetMode="External"/><Relationship Id="rId10" Type="http://schemas.openxmlformats.org/officeDocument/2006/relationships/hyperlink" Target="https://bicycleretailer.com/industry-news/2025/11/07/retail-and-online-sales-dip-overall-gopro-revenue-declines-37-year-over" TargetMode="External"/><Relationship Id="rId11" Type="http://schemas.openxmlformats.org/officeDocument/2006/relationships/hyperlink" Target="https://pricespy.co.uk/s/gopro-13-black/" TargetMode="External"/><Relationship Id="rId12" Type="http://schemas.openxmlformats.org/officeDocument/2006/relationships/hyperlink" Target="https://www.tubefilter.com/2025/05/15/sidemen-venture-capital-firm-upside-invest-creator-economy/" TargetMode="External"/><Relationship Id="rId13" Type="http://schemas.openxmlformats.org/officeDocument/2006/relationships/hyperlink" Target="https://thinklikeacreator.beehiiv.com/p/the-sidemen-just-launched-a-25m-vc-fund" TargetMode="External"/><Relationship Id="rId14" Type="http://schemas.openxmlformats.org/officeDocument/2006/relationships/hyperlink" Target="https://techcrunch.com/2024/09/13/howbout-raises-8m-from-goodwater-to-build-a-calendar-that-you-can-share-with-your-friends" TargetMode="External"/><Relationship Id="rId15" Type="http://schemas.openxmlformats.org/officeDocument/2006/relationships/hyperlink" Target="https://siliconrepublic.com/?p=1076774" TargetMode="External"/><Relationship Id="rId16" Type="http://schemas.openxmlformats.org/officeDocument/2006/relationships/hyperlink" Target="https://www.foundermade.com/brands-resources/nimbi" TargetMode="External"/><Relationship Id="rId17" Type="http://schemas.openxmlformats.org/officeDocument/2006/relationships/hyperlink" Target="https://hellopartner.com/best-brand-engagement-campaign-digital-voices-duolingo/" TargetMode="External"/><Relationship Id="rId18" Type="http://schemas.openxmlformats.org/officeDocument/2006/relationships/hyperlink" Target="https://www.modash.io/content-library/brands/monopoly-go-examples" TargetMode="External"/><Relationship Id="rId19" Type="http://schemas.openxmlformats.org/officeDocument/2006/relationships/hyperlink" Target="https://www.whoop.com/us/en/press-center/whoop-r-joins-the-british-and-irish-lions-as-official-supplier-for-the-qata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1"/>
      <c r="B1" s="2" t="s">
        <v>0</v>
      </c>
    </row>
    <row r="2" customFormat="false" ht="22.3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15" hidden="false" customHeight="false" outlineLevel="0" collapsed="false">
      <c r="A5" s="1"/>
      <c r="B5" s="4" t="s">
        <v>3</v>
      </c>
    </row>
    <row r="6" customFormat="false" ht="15" hidden="false" customHeight="false" outlineLevel="0" collapsed="false">
      <c r="A6" s="1"/>
      <c r="B6" s="4" t="s">
        <v>4</v>
      </c>
    </row>
    <row r="7" customFormat="false" ht="15" hidden="false" customHeight="false" outlineLevel="0" collapsed="false">
      <c r="A7" s="1"/>
      <c r="B7" s="4" t="s">
        <v>5</v>
      </c>
    </row>
    <row r="8" customFormat="false" ht="15" hidden="false" customHeight="false" outlineLevel="0" collapsed="false">
      <c r="A8" s="1"/>
      <c r="B8" s="4" t="s">
        <v>6</v>
      </c>
    </row>
    <row r="9" customFormat="false" ht="15" hidden="false" customHeight="false" outlineLevel="0" collapsed="false">
      <c r="A9" s="1"/>
      <c r="B9" s="4" t="s">
        <v>7</v>
      </c>
    </row>
    <row r="10" customFormat="false" ht="15" hidden="false" customHeight="false" outlineLevel="0" collapsed="false">
      <c r="A10" s="1"/>
      <c r="B10" s="4"/>
    </row>
    <row r="11" customFormat="false" ht="15" hidden="false" customHeight="false" outlineLevel="0" collapsed="false">
      <c r="A11" s="1"/>
      <c r="B11" s="5" t="s">
        <v>8</v>
      </c>
    </row>
    <row r="12" customFormat="false" ht="23.85" hidden="false" customHeight="false" outlineLevel="0" collapsed="false">
      <c r="A12" s="1"/>
      <c r="B12" s="4" t="s">
        <v>9</v>
      </c>
    </row>
    <row r="13" customFormat="false" ht="23.85" hidden="false" customHeight="false" outlineLevel="0" collapsed="false">
      <c r="A13" s="1"/>
      <c r="B13" s="4" t="s">
        <v>10</v>
      </c>
    </row>
    <row r="14" customFormat="false" ht="23.85" hidden="false" customHeight="false" outlineLevel="0" collapsed="false">
      <c r="A14" s="1"/>
      <c r="B14" s="4" t="s">
        <v>11</v>
      </c>
    </row>
    <row r="15" customFormat="false" ht="15" hidden="false" customHeight="false" outlineLevel="0" collapsed="false">
      <c r="A15" s="1"/>
      <c r="B15" s="4"/>
    </row>
    <row r="16" customFormat="false" ht="15" hidden="false" customHeight="false" outlineLevel="0" collapsed="false">
      <c r="A16" s="1"/>
      <c r="B16" s="5" t="s">
        <v>12</v>
      </c>
    </row>
    <row r="17" customFormat="false" ht="15" hidden="false" customHeight="false" outlineLevel="0" collapsed="false">
      <c r="A17" s="1"/>
      <c r="B17" s="4" t="s">
        <v>13</v>
      </c>
    </row>
    <row r="18" customFormat="false" ht="15" hidden="false" customHeight="false" outlineLevel="0" collapsed="false">
      <c r="A18" s="1"/>
      <c r="B18" s="4"/>
    </row>
    <row r="19" customFormat="false" ht="15" hidden="false" customHeight="false" outlineLevel="0" collapsed="false">
      <c r="A19" s="1"/>
      <c r="B19" s="5" t="s">
        <v>14</v>
      </c>
    </row>
    <row r="20" customFormat="false" ht="23.85" hidden="false" customHeight="false" outlineLevel="0" collapsed="false">
      <c r="A20" s="1"/>
      <c r="B20" s="4" t="s">
        <v>15</v>
      </c>
    </row>
    <row r="21" customFormat="false" ht="15" hidden="false" customHeight="false" outlineLevel="0" collapsed="false">
      <c r="A21" s="1"/>
      <c r="B21" s="4" t="s">
        <v>16</v>
      </c>
    </row>
    <row r="22" customFormat="false" ht="23.85" hidden="false" customHeight="false" outlineLevel="0" collapsed="false">
      <c r="A22" s="1"/>
      <c r="B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6" t="s">
        <v>18</v>
      </c>
      <c r="B1" s="1"/>
    </row>
    <row r="2" customFormat="false" ht="15" hidden="false" customHeight="false" outlineLevel="0" collapsed="false">
      <c r="A2" s="7" t="s">
        <v>19</v>
      </c>
      <c r="B2" s="1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8" t="s">
        <v>20</v>
      </c>
      <c r="B4" s="8" t="s">
        <v>21</v>
      </c>
    </row>
    <row r="5" customFormat="false" ht="15" hidden="false" customHeight="false" outlineLevel="0" collapsed="false">
      <c r="A5" s="9" t="s">
        <v>22</v>
      </c>
      <c r="B5" s="10" t="str">
        <f aca="false">INDEX(Scorecard!A5:A15,MATCH(1,Scorecard!J5:J15,0))</f>
        <v>GoPro</v>
      </c>
    </row>
    <row r="6" customFormat="false" ht="15" hidden="false" customHeight="false" outlineLevel="0" collapsed="false">
      <c r="A6" s="9" t="s">
        <v>23</v>
      </c>
      <c r="B6" s="11" t="n">
        <f aca="false">Scorecard!H5</f>
        <v>4.55</v>
      </c>
    </row>
    <row r="7" customFormat="false" ht="15" hidden="false" customHeight="false" outlineLevel="0" collapsed="false">
      <c r="A7" s="9" t="s">
        <v>24</v>
      </c>
      <c r="B7" s="12" t="n">
        <f aca="false">Deal_Value!D9</f>
        <v>72.5</v>
      </c>
    </row>
    <row r="8" customFormat="false" ht="15" hidden="false" customHeight="false" outlineLevel="0" collapsed="false">
      <c r="A8" s="9" t="s">
        <v>25</v>
      </c>
      <c r="B8" s="13" t="n">
        <f aca="false">Deal_Value!H9</f>
        <v>835.5</v>
      </c>
    </row>
    <row r="9" customFormat="false" ht="15" hidden="false" customHeight="false" outlineLevel="0" collapsed="false">
      <c r="A9" s="9" t="s">
        <v>26</v>
      </c>
      <c r="B9" s="14" t="n">
        <f aca="false">Deal_Value!B15</f>
        <v>2220</v>
      </c>
    </row>
    <row r="10" customFormat="false" ht="15" hidden="false" customHeight="false" outlineLevel="0" collapsed="false">
      <c r="A10" s="9" t="s">
        <v>27</v>
      </c>
      <c r="B10" s="13" t="n">
        <f aca="false">Deal_Value!B16</f>
        <v>666</v>
      </c>
    </row>
    <row r="11" customFormat="false" ht="15" hidden="false" customHeight="false" outlineLevel="0" collapsed="false">
      <c r="A11" s="9" t="s">
        <v>28</v>
      </c>
      <c r="B11" s="13" t="n">
        <f aca="false">Deal_Structure!B8</f>
        <v>456.6</v>
      </c>
    </row>
    <row r="12" customFormat="false" ht="15" hidden="false" customHeight="false" outlineLevel="0" collapsed="false">
      <c r="A12" s="9" t="s">
        <v>29</v>
      </c>
      <c r="B12" s="15" t="n">
        <f aca="false">Deal_Structure!B16</f>
        <v>2.17289356110381</v>
      </c>
    </row>
    <row r="13" customFormat="false" ht="15" hidden="false" customHeight="false" outlineLevel="0" collapsed="false">
      <c r="A13" s="9" t="s">
        <v>30</v>
      </c>
      <c r="B13" s="16" t="n">
        <f aca="false">Deal_Structure!B33</f>
        <v>0.813018398806564</v>
      </c>
    </row>
    <row r="14" customFormat="false" ht="15" hidden="false" customHeight="false" outlineLevel="0" collapsed="false">
      <c r="A14" s="9" t="s">
        <v>31</v>
      </c>
      <c r="B14" s="16" t="n">
        <f aca="false">Deal_Structure!D33</f>
        <v>3.69640370550951</v>
      </c>
    </row>
    <row r="15" customFormat="false" ht="15" hidden="false" customHeight="false" outlineLevel="0" collapsed="false">
      <c r="A15" s="9" t="s">
        <v>32</v>
      </c>
      <c r="B15" s="13" t="n">
        <f aca="false">Deal_Structure!B19</f>
        <v>416.6</v>
      </c>
    </row>
    <row r="16" customFormat="false" ht="15" hidden="false" customHeight="false" outlineLevel="0" collapsed="false">
      <c r="A16" s="9" t="s">
        <v>33</v>
      </c>
      <c r="B16" s="17" t="n">
        <f aca="false">Deal_Structure!B20</f>
        <v>0.00603968253968254</v>
      </c>
    </row>
    <row r="17" customFormat="false" ht="15" hidden="false" customHeight="false" outlineLevel="0" collapsed="false">
      <c r="A17" s="9" t="s">
        <v>34</v>
      </c>
      <c r="B17" s="10" t="str">
        <f aca="false">INDEX(Upside!B4:D4,MATCH(MAX(Upside!B16:D16),Upside!B16:D16,0))</f>
        <v>Howbout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0"/>
  </cols>
  <sheetData>
    <row r="1" customFormat="false" ht="17.35" hidden="false" customHeight="false" outlineLevel="0" collapsed="false">
      <c r="A1" s="6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48" hidden="false" customHeight="true" outlineLevel="0" collapsed="false">
      <c r="A3" s="1"/>
      <c r="B3" s="18" t="s">
        <v>37</v>
      </c>
      <c r="C3" s="18" t="s">
        <v>38</v>
      </c>
      <c r="D3" s="18" t="s">
        <v>39</v>
      </c>
      <c r="E3" s="18" t="s">
        <v>40</v>
      </c>
      <c r="F3" s="18" t="s">
        <v>41</v>
      </c>
      <c r="G3" s="18" t="s">
        <v>42</v>
      </c>
      <c r="H3" s="18" t="s">
        <v>43</v>
      </c>
      <c r="I3" s="18" t="s">
        <v>44</v>
      </c>
      <c r="J3" s="18" t="s">
        <v>45</v>
      </c>
      <c r="K3" s="18" t="s">
        <v>46</v>
      </c>
    </row>
    <row r="4" customFormat="false" ht="15" hidden="false" customHeight="false" outlineLevel="0" collapsed="false">
      <c r="A4" s="19" t="s">
        <v>47</v>
      </c>
      <c r="B4" s="20" t="n">
        <v>0.2</v>
      </c>
      <c r="C4" s="20" t="n">
        <v>0.25</v>
      </c>
      <c r="D4" s="20" t="n">
        <v>0.15</v>
      </c>
      <c r="E4" s="20" t="n">
        <v>0.15</v>
      </c>
      <c r="F4" s="20" t="n">
        <v>0.1</v>
      </c>
      <c r="G4" s="20" t="n">
        <v>0.15</v>
      </c>
      <c r="H4" s="21" t="n">
        <f aca="false">SUM(B4:G4)</f>
        <v>1</v>
      </c>
      <c r="I4" s="1"/>
      <c r="J4" s="1"/>
      <c r="K4" s="1"/>
    </row>
    <row r="5" customFormat="false" ht="30" hidden="false" customHeight="true" outlineLevel="0" collapsed="false">
      <c r="A5" s="22" t="s">
        <v>48</v>
      </c>
      <c r="B5" s="23" t="n">
        <v>4</v>
      </c>
      <c r="C5" s="23" t="n">
        <v>5</v>
      </c>
      <c r="D5" s="23" t="n">
        <v>5</v>
      </c>
      <c r="E5" s="23" t="n">
        <v>4</v>
      </c>
      <c r="F5" s="23" t="n">
        <v>4</v>
      </c>
      <c r="G5" s="23" t="n">
        <v>5</v>
      </c>
      <c r="H5" s="24" t="n">
        <f aca="false">SUMPRODUCT($B$4:$G$4,B5:G5)</f>
        <v>4.55</v>
      </c>
      <c r="I5" s="25" t="n">
        <f aca="false">H5/5</f>
        <v>0.91</v>
      </c>
      <c r="J5" s="26" t="n">
        <f aca="false">RANK(H5,$H$5:$H$15)</f>
        <v>1</v>
      </c>
      <c r="K5" s="27" t="s">
        <v>49</v>
      </c>
    </row>
    <row r="6" customFormat="false" ht="30" hidden="false" customHeight="true" outlineLevel="0" collapsed="false">
      <c r="A6" s="28" t="s">
        <v>50</v>
      </c>
      <c r="B6" s="29" t="n">
        <v>5</v>
      </c>
      <c r="C6" s="29" t="n">
        <v>4</v>
      </c>
      <c r="D6" s="29" t="n">
        <v>5</v>
      </c>
      <c r="E6" s="29" t="n">
        <v>2</v>
      </c>
      <c r="F6" s="29" t="n">
        <v>4</v>
      </c>
      <c r="G6" s="29" t="n">
        <v>4</v>
      </c>
      <c r="H6" s="30" t="n">
        <f aca="false">SUMPRODUCT($B$4:$G$4,B6:G6)</f>
        <v>4.05</v>
      </c>
      <c r="I6" s="31" t="n">
        <f aca="false">H6/5</f>
        <v>0.81</v>
      </c>
      <c r="J6" s="9" t="n">
        <f aca="false">RANK(H6,$H$5:$H$15)</f>
        <v>2</v>
      </c>
      <c r="K6" s="32" t="s">
        <v>51</v>
      </c>
    </row>
    <row r="7" customFormat="false" ht="30" hidden="false" customHeight="true" outlineLevel="0" collapsed="false">
      <c r="A7" s="28" t="s">
        <v>52</v>
      </c>
      <c r="B7" s="29" t="n">
        <v>3</v>
      </c>
      <c r="C7" s="29" t="n">
        <v>4</v>
      </c>
      <c r="D7" s="29" t="n">
        <v>5</v>
      </c>
      <c r="E7" s="29" t="n">
        <v>4</v>
      </c>
      <c r="F7" s="29" t="n">
        <v>5</v>
      </c>
      <c r="G7" s="29" t="n">
        <v>3</v>
      </c>
      <c r="H7" s="30" t="n">
        <f aca="false">SUMPRODUCT($B$4:$G$4,B7:G7)</f>
        <v>3.9</v>
      </c>
      <c r="I7" s="31" t="n">
        <f aca="false">H7/5</f>
        <v>0.78</v>
      </c>
      <c r="J7" s="9" t="n">
        <f aca="false">RANK(H7,$H$5:$H$15)</f>
        <v>3</v>
      </c>
      <c r="K7" s="32" t="s">
        <v>53</v>
      </c>
    </row>
    <row r="8" customFormat="false" ht="30" hidden="false" customHeight="true" outlineLevel="0" collapsed="false">
      <c r="A8" s="28" t="s">
        <v>54</v>
      </c>
      <c r="B8" s="29" t="n">
        <v>3</v>
      </c>
      <c r="C8" s="29" t="n">
        <v>4</v>
      </c>
      <c r="D8" s="29" t="n">
        <v>5</v>
      </c>
      <c r="E8" s="29" t="n">
        <v>4</v>
      </c>
      <c r="F8" s="29" t="n">
        <v>4</v>
      </c>
      <c r="G8" s="29" t="n">
        <v>3</v>
      </c>
      <c r="H8" s="30" t="n">
        <f aca="false">SUMPRODUCT($B$4:$G$4,B8:G8)</f>
        <v>3.8</v>
      </c>
      <c r="I8" s="31" t="n">
        <f aca="false">H8/5</f>
        <v>0.76</v>
      </c>
      <c r="J8" s="9" t="n">
        <f aca="false">RANK(H8,$H$5:$H$15)</f>
        <v>5</v>
      </c>
      <c r="K8" s="32" t="s">
        <v>55</v>
      </c>
    </row>
    <row r="9" customFormat="false" ht="30" hidden="false" customHeight="true" outlineLevel="0" collapsed="false">
      <c r="A9" s="28" t="s">
        <v>56</v>
      </c>
      <c r="B9" s="29" t="n">
        <v>4</v>
      </c>
      <c r="C9" s="29" t="n">
        <v>4</v>
      </c>
      <c r="D9" s="29" t="n">
        <v>5</v>
      </c>
      <c r="E9" s="29" t="n">
        <v>3</v>
      </c>
      <c r="F9" s="29" t="n">
        <v>4</v>
      </c>
      <c r="G9" s="29" t="n">
        <v>3</v>
      </c>
      <c r="H9" s="30" t="n">
        <f aca="false">SUMPRODUCT($B$4:$G$4,B9:G9)</f>
        <v>3.85</v>
      </c>
      <c r="I9" s="31" t="n">
        <f aca="false">H9/5</f>
        <v>0.77</v>
      </c>
      <c r="J9" s="9" t="n">
        <f aca="false">RANK(H9,$H$5:$H$15)</f>
        <v>4</v>
      </c>
      <c r="K9" s="32" t="s">
        <v>57</v>
      </c>
    </row>
    <row r="10" customFormat="false" ht="30" hidden="false" customHeight="true" outlineLevel="0" collapsed="false">
      <c r="A10" s="28" t="s">
        <v>58</v>
      </c>
      <c r="B10" s="29" t="n">
        <v>4</v>
      </c>
      <c r="C10" s="29" t="n">
        <v>4</v>
      </c>
      <c r="D10" s="29" t="n">
        <v>5</v>
      </c>
      <c r="E10" s="29" t="n">
        <v>3</v>
      </c>
      <c r="F10" s="29" t="n">
        <v>3</v>
      </c>
      <c r="G10" s="29" t="n">
        <v>3</v>
      </c>
      <c r="H10" s="30" t="n">
        <f aca="false">SUMPRODUCT($B$4:$G$4,B10:G10)</f>
        <v>3.75</v>
      </c>
      <c r="I10" s="31" t="n">
        <f aca="false">H10/5</f>
        <v>0.75</v>
      </c>
      <c r="J10" s="9" t="n">
        <f aca="false">RANK(H10,$H$5:$H$15)</f>
        <v>6</v>
      </c>
      <c r="K10" s="32" t="s">
        <v>59</v>
      </c>
    </row>
    <row r="11" customFormat="false" ht="30" hidden="false" customHeight="true" outlineLevel="0" collapsed="false">
      <c r="A11" s="28" t="s">
        <v>60</v>
      </c>
      <c r="B11" s="29" t="n">
        <v>2</v>
      </c>
      <c r="C11" s="29" t="n">
        <v>4</v>
      </c>
      <c r="D11" s="29" t="n">
        <v>5</v>
      </c>
      <c r="E11" s="29" t="n">
        <v>5</v>
      </c>
      <c r="F11" s="29" t="n">
        <v>5</v>
      </c>
      <c r="G11" s="29" t="n">
        <v>2</v>
      </c>
      <c r="H11" s="30" t="n">
        <f aca="false">SUMPRODUCT($B$4:$G$4,B11:G11)</f>
        <v>3.7</v>
      </c>
      <c r="I11" s="31" t="n">
        <f aca="false">H11/5</f>
        <v>0.74</v>
      </c>
      <c r="J11" s="9" t="n">
        <f aca="false">RANK(H11,$H$5:$H$15)</f>
        <v>7</v>
      </c>
      <c r="K11" s="32" t="s">
        <v>61</v>
      </c>
    </row>
    <row r="12" customFormat="false" ht="30" hidden="false" customHeight="true" outlineLevel="0" collapsed="false">
      <c r="A12" s="28" t="s">
        <v>62</v>
      </c>
      <c r="B12" s="29" t="n">
        <v>3</v>
      </c>
      <c r="C12" s="29" t="n">
        <v>5</v>
      </c>
      <c r="D12" s="29" t="n">
        <v>5</v>
      </c>
      <c r="E12" s="29" t="n">
        <v>2</v>
      </c>
      <c r="F12" s="29" t="n">
        <v>4</v>
      </c>
      <c r="G12" s="29" t="n">
        <v>2</v>
      </c>
      <c r="H12" s="30" t="n">
        <f aca="false">SUMPRODUCT($B$4:$G$4,B12:G12)</f>
        <v>3.6</v>
      </c>
      <c r="I12" s="31" t="n">
        <f aca="false">H12/5</f>
        <v>0.72</v>
      </c>
      <c r="J12" s="9" t="n">
        <f aca="false">RANK(H12,$H$5:$H$15)</f>
        <v>8</v>
      </c>
      <c r="K12" s="32" t="s">
        <v>63</v>
      </c>
    </row>
    <row r="13" customFormat="false" ht="30" hidden="false" customHeight="true" outlineLevel="0" collapsed="false">
      <c r="A13" s="28" t="s">
        <v>64</v>
      </c>
      <c r="B13" s="29" t="n">
        <v>5</v>
      </c>
      <c r="C13" s="29" t="n">
        <v>3</v>
      </c>
      <c r="D13" s="29" t="n">
        <v>5</v>
      </c>
      <c r="E13" s="29" t="n">
        <v>1</v>
      </c>
      <c r="F13" s="29" t="n">
        <v>3</v>
      </c>
      <c r="G13" s="29" t="n">
        <v>4</v>
      </c>
      <c r="H13" s="30" t="n">
        <f aca="false">SUMPRODUCT($B$4:$G$4,B13:G13)</f>
        <v>3.55</v>
      </c>
      <c r="I13" s="31" t="n">
        <f aca="false">H13/5</f>
        <v>0.71</v>
      </c>
      <c r="J13" s="9" t="n">
        <f aca="false">RANK(H13,$H$5:$H$15)</f>
        <v>9</v>
      </c>
      <c r="K13" s="32" t="s">
        <v>65</v>
      </c>
    </row>
    <row r="14" customFormat="false" ht="30" hidden="false" customHeight="true" outlineLevel="0" collapsed="false">
      <c r="A14" s="28" t="s">
        <v>66</v>
      </c>
      <c r="B14" s="29" t="n">
        <v>3</v>
      </c>
      <c r="C14" s="29" t="n">
        <v>4</v>
      </c>
      <c r="D14" s="29" t="n">
        <v>5</v>
      </c>
      <c r="E14" s="29" t="n">
        <v>2</v>
      </c>
      <c r="F14" s="29" t="n">
        <v>4</v>
      </c>
      <c r="G14" s="29" t="n">
        <v>3</v>
      </c>
      <c r="H14" s="30" t="n">
        <f aca="false">SUMPRODUCT($B$4:$G$4,B14:G14)</f>
        <v>3.5</v>
      </c>
      <c r="I14" s="31" t="n">
        <f aca="false">H14/5</f>
        <v>0.7</v>
      </c>
      <c r="J14" s="9" t="n">
        <f aca="false">RANK(H14,$H$5:$H$15)</f>
        <v>10</v>
      </c>
      <c r="K14" s="32" t="s">
        <v>67</v>
      </c>
    </row>
    <row r="15" customFormat="false" ht="30" hidden="false" customHeight="true" outlineLevel="0" collapsed="false">
      <c r="A15" s="28" t="s">
        <v>68</v>
      </c>
      <c r="B15" s="29" t="n">
        <v>2</v>
      </c>
      <c r="C15" s="29" t="n">
        <v>3</v>
      </c>
      <c r="D15" s="29" t="n">
        <v>5</v>
      </c>
      <c r="E15" s="29" t="n">
        <v>4</v>
      </c>
      <c r="F15" s="29" t="n">
        <v>5</v>
      </c>
      <c r="G15" s="29" t="n">
        <v>2</v>
      </c>
      <c r="H15" s="30" t="n">
        <f aca="false">SUMPRODUCT($B$4:$G$4,B15:G15)</f>
        <v>3.3</v>
      </c>
      <c r="I15" s="31" t="n">
        <f aca="false">H15/5</f>
        <v>0.66</v>
      </c>
      <c r="J15" s="9" t="n">
        <f aca="false">RANK(H15,$H$5:$H$15)</f>
        <v>11</v>
      </c>
      <c r="K15" s="3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92"/>
  </cols>
  <sheetData>
    <row r="1" customFormat="false" ht="17.35" hidden="false" customHeight="false" outlineLevel="0" collapsed="false">
      <c r="A1" s="6" t="s">
        <v>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71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</row>
    <row r="5" customFormat="false" ht="15" hidden="false" customHeight="false" outlineLevel="0" collapsed="false">
      <c r="A5" s="33" t="s">
        <v>80</v>
      </c>
      <c r="B5" s="34"/>
      <c r="C5" s="34"/>
      <c r="D5" s="34"/>
      <c r="E5" s="34"/>
      <c r="F5" s="34"/>
      <c r="G5" s="34"/>
      <c r="H5" s="34"/>
    </row>
    <row r="6" customFormat="false" ht="30" hidden="false" customHeight="true" outlineLevel="0" collapsed="false">
      <c r="A6" s="35" t="s">
        <v>81</v>
      </c>
      <c r="B6" s="35" t="s">
        <v>82</v>
      </c>
      <c r="C6" s="35" t="s">
        <v>83</v>
      </c>
      <c r="D6" s="36" t="n">
        <v>6</v>
      </c>
      <c r="E6" s="36" t="n">
        <v>8.5</v>
      </c>
      <c r="F6" s="36" t="n">
        <v>12</v>
      </c>
      <c r="G6" s="35" t="s">
        <v>84</v>
      </c>
      <c r="H6" s="37" t="s">
        <v>85</v>
      </c>
    </row>
    <row r="7" customFormat="false" ht="30" hidden="false" customHeight="true" outlineLevel="0" collapsed="false">
      <c r="A7" s="38" t="s">
        <v>86</v>
      </c>
      <c r="B7" s="38" t="s">
        <v>87</v>
      </c>
      <c r="C7" s="38" t="s">
        <v>83</v>
      </c>
      <c r="D7" s="39" t="n">
        <v>8</v>
      </c>
      <c r="E7" s="40" t="n">
        <v>11</v>
      </c>
      <c r="F7" s="39" t="n">
        <v>14</v>
      </c>
      <c r="G7" s="38" t="s">
        <v>88</v>
      </c>
      <c r="H7" s="41" t="s">
        <v>89</v>
      </c>
    </row>
    <row r="8" customFormat="false" ht="15" hidden="false" customHeight="false" outlineLevel="0" collapsed="false">
      <c r="A8" s="33" t="s">
        <v>90</v>
      </c>
      <c r="B8" s="34"/>
      <c r="C8" s="34"/>
      <c r="D8" s="34"/>
      <c r="E8" s="34"/>
      <c r="F8" s="34"/>
      <c r="G8" s="34"/>
      <c r="H8" s="34"/>
    </row>
    <row r="9" customFormat="false" ht="30" hidden="false" customHeight="true" outlineLevel="0" collapsed="false">
      <c r="A9" s="38" t="s">
        <v>91</v>
      </c>
      <c r="B9" s="38" t="s">
        <v>92</v>
      </c>
      <c r="C9" s="38" t="s">
        <v>93</v>
      </c>
      <c r="D9" s="38"/>
      <c r="E9" s="42" t="n">
        <v>3</v>
      </c>
      <c r="F9" s="38"/>
      <c r="G9" s="38" t="s">
        <v>94</v>
      </c>
      <c r="H9" s="41" t="s">
        <v>95</v>
      </c>
    </row>
    <row r="10" customFormat="false" ht="30" hidden="false" customHeight="true" outlineLevel="0" collapsed="false">
      <c r="A10" s="38" t="s">
        <v>96</v>
      </c>
      <c r="B10" s="38" t="s">
        <v>97</v>
      </c>
      <c r="C10" s="38" t="s">
        <v>98</v>
      </c>
      <c r="D10" s="43" t="n">
        <v>0.3</v>
      </c>
      <c r="E10" s="44" t="n">
        <v>0.5</v>
      </c>
      <c r="F10" s="43" t="n">
        <v>0.7</v>
      </c>
      <c r="G10" s="38" t="s">
        <v>99</v>
      </c>
      <c r="H10" s="41" t="s">
        <v>100</v>
      </c>
    </row>
    <row r="11" customFormat="false" ht="30" hidden="false" customHeight="true" outlineLevel="0" collapsed="false">
      <c r="A11" s="38" t="s">
        <v>101</v>
      </c>
      <c r="B11" s="38" t="s">
        <v>102</v>
      </c>
      <c r="C11" s="38" t="s">
        <v>103</v>
      </c>
      <c r="D11" s="45" t="n">
        <v>1</v>
      </c>
      <c r="E11" s="45" t="n">
        <v>1.5</v>
      </c>
      <c r="F11" s="45" t="n">
        <v>2</v>
      </c>
      <c r="G11" s="38" t="s">
        <v>99</v>
      </c>
      <c r="H11" s="41" t="s">
        <v>104</v>
      </c>
    </row>
    <row r="12" customFormat="false" ht="30" hidden="false" customHeight="true" outlineLevel="0" collapsed="false">
      <c r="A12" s="38" t="s">
        <v>105</v>
      </c>
      <c r="B12" s="38" t="s">
        <v>106</v>
      </c>
      <c r="C12" s="38" t="s">
        <v>107</v>
      </c>
      <c r="D12" s="38"/>
      <c r="E12" s="42" t="n">
        <v>20</v>
      </c>
      <c r="F12" s="38"/>
      <c r="G12" s="38" t="s">
        <v>94</v>
      </c>
      <c r="H12" s="41" t="s">
        <v>108</v>
      </c>
    </row>
    <row r="13" customFormat="false" ht="30" hidden="false" customHeight="true" outlineLevel="0" collapsed="false">
      <c r="A13" s="38" t="s">
        <v>109</v>
      </c>
      <c r="B13" s="38" t="s">
        <v>110</v>
      </c>
      <c r="C13" s="38" t="s">
        <v>83</v>
      </c>
      <c r="D13" s="39" t="n">
        <v>0.8</v>
      </c>
      <c r="E13" s="39" t="n">
        <v>1.5</v>
      </c>
      <c r="F13" s="39" t="n">
        <v>2.5</v>
      </c>
      <c r="G13" s="38" t="s">
        <v>99</v>
      </c>
      <c r="H13" s="41" t="s">
        <v>111</v>
      </c>
    </row>
    <row r="14" customFormat="false" ht="30" hidden="false" customHeight="true" outlineLevel="0" collapsed="false">
      <c r="A14" s="38" t="s">
        <v>112</v>
      </c>
      <c r="B14" s="38" t="s">
        <v>113</v>
      </c>
      <c r="C14" s="38" t="s">
        <v>93</v>
      </c>
      <c r="D14" s="38"/>
      <c r="E14" s="42" t="n">
        <v>2</v>
      </c>
      <c r="F14" s="38"/>
      <c r="G14" s="38" t="s">
        <v>94</v>
      </c>
      <c r="H14" s="41" t="s">
        <v>114</v>
      </c>
    </row>
    <row r="15" customFormat="false" ht="30" hidden="false" customHeight="true" outlineLevel="0" collapsed="false">
      <c r="A15" s="38" t="s">
        <v>115</v>
      </c>
      <c r="B15" s="38" t="s">
        <v>116</v>
      </c>
      <c r="C15" s="38" t="s">
        <v>83</v>
      </c>
      <c r="D15" s="39" t="n">
        <v>2</v>
      </c>
      <c r="E15" s="39" t="n">
        <v>3</v>
      </c>
      <c r="F15" s="39" t="n">
        <v>4</v>
      </c>
      <c r="G15" s="38" t="s">
        <v>99</v>
      </c>
      <c r="H15" s="41" t="s">
        <v>117</v>
      </c>
    </row>
    <row r="16" customFormat="false" ht="15" hidden="false" customHeight="false" outlineLevel="0" collapsed="false">
      <c r="A16" s="33" t="s">
        <v>118</v>
      </c>
      <c r="B16" s="34"/>
      <c r="C16" s="34"/>
      <c r="D16" s="34"/>
      <c r="E16" s="34"/>
      <c r="F16" s="34"/>
      <c r="G16" s="34"/>
      <c r="H16" s="34"/>
    </row>
    <row r="17" customFormat="false" ht="30" hidden="false" customHeight="true" outlineLevel="0" collapsed="false">
      <c r="A17" s="38" t="s">
        <v>119</v>
      </c>
      <c r="B17" s="38" t="s">
        <v>120</v>
      </c>
      <c r="C17" s="38" t="s">
        <v>121</v>
      </c>
      <c r="D17" s="38"/>
      <c r="E17" s="46" t="n">
        <v>0.75</v>
      </c>
      <c r="F17" s="38"/>
      <c r="G17" s="38" t="s">
        <v>99</v>
      </c>
      <c r="H17" s="41" t="s">
        <v>122</v>
      </c>
    </row>
    <row r="18" customFormat="false" ht="30" hidden="false" customHeight="true" outlineLevel="0" collapsed="false">
      <c r="A18" s="38" t="s">
        <v>123</v>
      </c>
      <c r="B18" s="38" t="s">
        <v>124</v>
      </c>
      <c r="C18" s="38" t="s">
        <v>125</v>
      </c>
      <c r="D18" s="47" t="n">
        <v>15</v>
      </c>
      <c r="E18" s="48" t="n">
        <v>24</v>
      </c>
      <c r="F18" s="47" t="n">
        <v>30</v>
      </c>
      <c r="G18" s="38" t="s">
        <v>88</v>
      </c>
      <c r="H18" s="41" t="s">
        <v>126</v>
      </c>
    </row>
    <row r="19" customFormat="false" ht="30" hidden="false" customHeight="true" outlineLevel="0" collapsed="false">
      <c r="A19" s="35" t="s">
        <v>127</v>
      </c>
      <c r="B19" s="35" t="s">
        <v>128</v>
      </c>
      <c r="C19" s="35" t="s">
        <v>129</v>
      </c>
      <c r="D19" s="35"/>
      <c r="E19" s="49" t="n">
        <f aca="false">E18*E17</f>
        <v>18</v>
      </c>
      <c r="F19" s="35"/>
      <c r="G19" s="35" t="s">
        <v>84</v>
      </c>
      <c r="H19" s="37" t="s">
        <v>130</v>
      </c>
    </row>
    <row r="20" customFormat="false" ht="30" hidden="false" customHeight="true" outlineLevel="0" collapsed="false">
      <c r="A20" s="38" t="s">
        <v>131</v>
      </c>
      <c r="B20" s="38" t="s">
        <v>132</v>
      </c>
      <c r="C20" s="38" t="s">
        <v>129</v>
      </c>
      <c r="D20" s="50" t="n">
        <v>2</v>
      </c>
      <c r="E20" s="50" t="n">
        <v>4</v>
      </c>
      <c r="F20" s="50" t="n">
        <v>6</v>
      </c>
      <c r="G20" s="38" t="s">
        <v>99</v>
      </c>
      <c r="H20" s="41" t="s">
        <v>133</v>
      </c>
    </row>
    <row r="21" customFormat="false" ht="15" hidden="false" customHeight="false" outlineLevel="0" collapsed="false">
      <c r="A21" s="33" t="s">
        <v>134</v>
      </c>
      <c r="B21" s="34"/>
      <c r="C21" s="34"/>
      <c r="D21" s="34"/>
      <c r="E21" s="34"/>
      <c r="F21" s="34"/>
      <c r="G21" s="34"/>
      <c r="H21" s="34"/>
    </row>
    <row r="22" customFormat="false" ht="30" hidden="false" customHeight="true" outlineLevel="0" collapsed="false">
      <c r="A22" s="38" t="s">
        <v>135</v>
      </c>
      <c r="B22" s="38" t="s">
        <v>136</v>
      </c>
      <c r="C22" s="38" t="s">
        <v>137</v>
      </c>
      <c r="D22" s="51" t="n">
        <v>0.001</v>
      </c>
      <c r="E22" s="52" t="n">
        <v>0.002</v>
      </c>
      <c r="F22" s="51" t="n">
        <v>0.004</v>
      </c>
      <c r="G22" s="38" t="s">
        <v>99</v>
      </c>
      <c r="H22" s="41" t="s">
        <v>138</v>
      </c>
    </row>
    <row r="23" customFormat="false" ht="30" hidden="false" customHeight="true" outlineLevel="0" collapsed="false">
      <c r="A23" s="38" t="s">
        <v>139</v>
      </c>
      <c r="B23" s="38" t="s">
        <v>140</v>
      </c>
      <c r="C23" s="38" t="s">
        <v>137</v>
      </c>
      <c r="D23" s="43" t="n">
        <v>0.02</v>
      </c>
      <c r="E23" s="44" t="n">
        <v>0.03</v>
      </c>
      <c r="F23" s="43" t="n">
        <v>0.05</v>
      </c>
      <c r="G23" s="38" t="s">
        <v>99</v>
      </c>
      <c r="H23" s="41" t="s">
        <v>141</v>
      </c>
    </row>
    <row r="24" customFormat="false" ht="30" hidden="false" customHeight="true" outlineLevel="0" collapsed="false">
      <c r="A24" s="38" t="s">
        <v>142</v>
      </c>
      <c r="B24" s="38" t="s">
        <v>143</v>
      </c>
      <c r="C24" s="38" t="s">
        <v>129</v>
      </c>
      <c r="D24" s="50" t="n">
        <v>250</v>
      </c>
      <c r="E24" s="50" t="n">
        <v>300</v>
      </c>
      <c r="F24" s="50" t="n">
        <v>400</v>
      </c>
      <c r="G24" s="38" t="s">
        <v>88</v>
      </c>
      <c r="H24" s="41" t="s">
        <v>144</v>
      </c>
    </row>
    <row r="25" customFormat="false" ht="30" hidden="false" customHeight="true" outlineLevel="0" collapsed="false">
      <c r="A25" s="38" t="s">
        <v>145</v>
      </c>
      <c r="B25" s="38" t="s">
        <v>146</v>
      </c>
      <c r="C25" s="38" t="s">
        <v>137</v>
      </c>
      <c r="D25" s="38"/>
      <c r="E25" s="43" t="n">
        <v>0.336</v>
      </c>
      <c r="F25" s="38"/>
      <c r="G25" s="38" t="s">
        <v>88</v>
      </c>
      <c r="H25" s="41" t="s">
        <v>147</v>
      </c>
    </row>
    <row r="26" customFormat="false" ht="30" hidden="false" customHeight="true" outlineLevel="0" collapsed="false">
      <c r="A26" s="38" t="s">
        <v>148</v>
      </c>
      <c r="B26" s="38" t="s">
        <v>149</v>
      </c>
      <c r="C26" s="38" t="s">
        <v>137</v>
      </c>
      <c r="D26" s="43" t="n">
        <v>0.5</v>
      </c>
      <c r="E26" s="43" t="n">
        <v>0.7</v>
      </c>
      <c r="F26" s="43" t="n">
        <v>0.9</v>
      </c>
      <c r="G26" s="38" t="s">
        <v>99</v>
      </c>
      <c r="H26" s="41" t="s">
        <v>150</v>
      </c>
    </row>
    <row r="27" customFormat="false" ht="15" hidden="false" customHeight="false" outlineLevel="0" collapsed="false">
      <c r="A27" s="33" t="s">
        <v>151</v>
      </c>
      <c r="B27" s="34"/>
      <c r="C27" s="34"/>
      <c r="D27" s="34"/>
      <c r="E27" s="34"/>
      <c r="F27" s="34"/>
      <c r="G27" s="34"/>
      <c r="H27" s="34"/>
    </row>
    <row r="28" customFormat="false" ht="30" hidden="false" customHeight="true" outlineLevel="0" collapsed="false">
      <c r="A28" s="38" t="s">
        <v>152</v>
      </c>
      <c r="B28" s="38" t="s">
        <v>153</v>
      </c>
      <c r="C28" s="38" t="s">
        <v>154</v>
      </c>
      <c r="D28" s="38"/>
      <c r="E28" s="53" t="n">
        <v>350</v>
      </c>
      <c r="F28" s="38"/>
      <c r="G28" s="38" t="s">
        <v>94</v>
      </c>
      <c r="H28" s="41" t="s">
        <v>155</v>
      </c>
    </row>
    <row r="29" customFormat="false" ht="30" hidden="false" customHeight="true" outlineLevel="0" collapsed="false">
      <c r="A29" s="38" t="s">
        <v>156</v>
      </c>
      <c r="B29" s="38" t="s">
        <v>157</v>
      </c>
      <c r="C29" s="38" t="s">
        <v>154</v>
      </c>
      <c r="D29" s="38"/>
      <c r="E29" s="54" t="n">
        <v>40</v>
      </c>
      <c r="F29" s="38"/>
      <c r="G29" s="38" t="s">
        <v>94</v>
      </c>
      <c r="H29" s="41" t="s">
        <v>158</v>
      </c>
    </row>
    <row r="30" customFormat="false" ht="30" hidden="false" customHeight="true" outlineLevel="0" collapsed="false">
      <c r="A30" s="38" t="s">
        <v>159</v>
      </c>
      <c r="B30" s="38" t="s">
        <v>160</v>
      </c>
      <c r="C30" s="38" t="s">
        <v>137</v>
      </c>
      <c r="D30" s="38"/>
      <c r="E30" s="43" t="n">
        <v>0.1</v>
      </c>
      <c r="F30" s="38"/>
      <c r="G30" s="38" t="s">
        <v>94</v>
      </c>
      <c r="H30" s="41" t="s">
        <v>161</v>
      </c>
    </row>
    <row r="31" customFormat="false" ht="15" hidden="false" customHeight="false" outlineLevel="0" collapsed="false">
      <c r="A31" s="33" t="s">
        <v>162</v>
      </c>
      <c r="B31" s="34"/>
      <c r="C31" s="34"/>
      <c r="D31" s="34"/>
      <c r="E31" s="34"/>
      <c r="F31" s="34"/>
      <c r="G31" s="34"/>
      <c r="H31" s="34"/>
    </row>
    <row r="32" customFormat="false" ht="30" hidden="false" customHeight="true" outlineLevel="0" collapsed="false">
      <c r="A32" s="38" t="s">
        <v>163</v>
      </c>
      <c r="B32" s="38" t="s">
        <v>164</v>
      </c>
      <c r="C32" s="38" t="s">
        <v>165</v>
      </c>
      <c r="D32" s="38"/>
      <c r="E32" s="55" t="n">
        <v>651.5</v>
      </c>
      <c r="F32" s="38"/>
      <c r="G32" s="38" t="s">
        <v>88</v>
      </c>
      <c r="H32" s="41" t="s">
        <v>166</v>
      </c>
    </row>
    <row r="33" customFormat="false" ht="30" hidden="false" customHeight="true" outlineLevel="0" collapsed="false">
      <c r="A33" s="38" t="s">
        <v>167</v>
      </c>
      <c r="B33" s="38" t="s">
        <v>168</v>
      </c>
      <c r="C33" s="38" t="s">
        <v>165</v>
      </c>
      <c r="D33" s="38"/>
      <c r="E33" s="55" t="n">
        <v>100.8</v>
      </c>
      <c r="F33" s="38"/>
      <c r="G33" s="38" t="s">
        <v>88</v>
      </c>
      <c r="H33" s="4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6" t="s">
        <v>170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7" t="s">
        <v>171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3.85" hidden="false" customHeight="false" outlineLevel="0" collapsed="false">
      <c r="A4" s="8" t="s">
        <v>172</v>
      </c>
      <c r="B4" s="8" t="s">
        <v>173</v>
      </c>
      <c r="C4" s="8" t="s">
        <v>174</v>
      </c>
      <c r="D4" s="8" t="s">
        <v>175</v>
      </c>
      <c r="E4" s="8" t="s">
        <v>176</v>
      </c>
      <c r="F4" s="8" t="s">
        <v>177</v>
      </c>
      <c r="G4" s="8" t="s">
        <v>178</v>
      </c>
      <c r="H4" s="8" t="s">
        <v>179</v>
      </c>
      <c r="I4" s="8" t="s">
        <v>180</v>
      </c>
    </row>
    <row r="5" customFormat="false" ht="15" hidden="false" customHeight="false" outlineLevel="0" collapsed="false">
      <c r="A5" s="9" t="s">
        <v>181</v>
      </c>
      <c r="B5" s="56" t="n">
        <f aca="false">Inputs!$E$9</f>
        <v>3</v>
      </c>
      <c r="C5" s="12" t="n">
        <f aca="false">Inputs!$E$6</f>
        <v>8.5</v>
      </c>
      <c r="D5" s="57" t="n">
        <f aca="false">B5*C5</f>
        <v>25.5</v>
      </c>
      <c r="E5" s="58" t="n">
        <f aca="false">Inputs!$E$19</f>
        <v>18</v>
      </c>
      <c r="F5" s="43" t="n">
        <v>1</v>
      </c>
      <c r="G5" s="45" t="n">
        <v>1</v>
      </c>
      <c r="H5" s="59" t="n">
        <f aca="false">D5*E5*F5*G5</f>
        <v>459</v>
      </c>
      <c r="I5" s="60" t="n">
        <f aca="false">H5/$H$9</f>
        <v>0.549371633752244</v>
      </c>
    </row>
    <row r="6" customFormat="false" ht="15" hidden="false" customHeight="false" outlineLevel="0" collapsed="false">
      <c r="A6" s="9" t="s">
        <v>182</v>
      </c>
      <c r="B6" s="42" t="n">
        <v>1</v>
      </c>
      <c r="C6" s="12" t="n">
        <f aca="false">Inputs!$E$7</f>
        <v>11</v>
      </c>
      <c r="D6" s="57" t="n">
        <f aca="false">B6*C6</f>
        <v>11</v>
      </c>
      <c r="E6" s="58" t="n">
        <f aca="false">Inputs!$E$19</f>
        <v>18</v>
      </c>
      <c r="F6" s="61" t="n">
        <f aca="false">Inputs!$E$10</f>
        <v>0.5</v>
      </c>
      <c r="G6" s="62" t="n">
        <f aca="false">Inputs!$E$11</f>
        <v>1.5</v>
      </c>
      <c r="H6" s="59" t="n">
        <f aca="false">D6*E6*F6*G6</f>
        <v>148.5</v>
      </c>
      <c r="I6" s="60" t="n">
        <f aca="false">H6/$H$9</f>
        <v>0.177737881508079</v>
      </c>
    </row>
    <row r="7" customFormat="false" ht="15" hidden="false" customHeight="false" outlineLevel="0" collapsed="false">
      <c r="A7" s="9" t="s">
        <v>183</v>
      </c>
      <c r="B7" s="56" t="n">
        <f aca="false">Inputs!$E$12</f>
        <v>20</v>
      </c>
      <c r="C7" s="12" t="n">
        <f aca="false">Inputs!$E$13</f>
        <v>1.5</v>
      </c>
      <c r="D7" s="57" t="n">
        <f aca="false">B7*C7</f>
        <v>30</v>
      </c>
      <c r="E7" s="58" t="n">
        <f aca="false">Inputs!$E$20</f>
        <v>4</v>
      </c>
      <c r="F7" s="43" t="n">
        <v>1</v>
      </c>
      <c r="G7" s="45" t="n">
        <v>1</v>
      </c>
      <c r="H7" s="59" t="n">
        <f aca="false">D7*E7*F7*G7</f>
        <v>120</v>
      </c>
      <c r="I7" s="60" t="n">
        <f aca="false">H7/$H$9</f>
        <v>0.143626570915619</v>
      </c>
    </row>
    <row r="8" customFormat="false" ht="15" hidden="false" customHeight="false" outlineLevel="0" collapsed="false">
      <c r="A8" s="9" t="s">
        <v>184</v>
      </c>
      <c r="B8" s="56" t="n">
        <f aca="false">Inputs!$E$14</f>
        <v>2</v>
      </c>
      <c r="C8" s="12" t="n">
        <f aca="false">Inputs!$E$15</f>
        <v>3</v>
      </c>
      <c r="D8" s="57" t="n">
        <f aca="false">B8*C8</f>
        <v>6</v>
      </c>
      <c r="E8" s="58" t="n">
        <f aca="false">Inputs!$E$19</f>
        <v>18</v>
      </c>
      <c r="F8" s="43" t="n">
        <v>1</v>
      </c>
      <c r="G8" s="45" t="n">
        <v>1</v>
      </c>
      <c r="H8" s="59" t="n">
        <f aca="false">D8*E8*F8*G8</f>
        <v>108</v>
      </c>
      <c r="I8" s="60" t="n">
        <f aca="false">H8/$H$9</f>
        <v>0.129263913824057</v>
      </c>
    </row>
    <row r="9" customFormat="false" ht="15" hidden="false" customHeight="false" outlineLevel="0" collapsed="false">
      <c r="A9" s="19" t="s">
        <v>185</v>
      </c>
      <c r="B9" s="1"/>
      <c r="C9" s="1"/>
      <c r="D9" s="63" t="n">
        <f aca="false">SUM(D5:D8)</f>
        <v>72.5</v>
      </c>
      <c r="E9" s="1"/>
      <c r="F9" s="1"/>
      <c r="G9" s="1"/>
      <c r="H9" s="64" t="n">
        <f aca="false">SUM(H5:H8)</f>
        <v>835.5</v>
      </c>
      <c r="I9" s="65" t="n">
        <f aca="false">SUM(I5:I8)</f>
        <v>1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9" t="s">
        <v>186</v>
      </c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9" t="s">
        <v>187</v>
      </c>
      <c r="B13" s="57" t="n">
        <f aca="false">D5+D6*F6+D8</f>
        <v>37</v>
      </c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9" t="s">
        <v>188</v>
      </c>
      <c r="B14" s="66" t="n">
        <f aca="false">B13*1000000*Inputs!$E$22</f>
        <v>74000</v>
      </c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9" t="s">
        <v>189</v>
      </c>
      <c r="B15" s="66" t="n">
        <f aca="false">B14*Inputs!$E$23</f>
        <v>2220</v>
      </c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9" t="s">
        <v>27</v>
      </c>
      <c r="B16" s="59" t="n">
        <f aca="false">B15*Inputs!$E$24/1000</f>
        <v>666</v>
      </c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9" t="s">
        <v>190</v>
      </c>
      <c r="B17" s="59" t="n">
        <f aca="false">B16*Inputs!$E$26</f>
        <v>466.2</v>
      </c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9" t="s">
        <v>191</v>
      </c>
      <c r="B18" s="67" t="n">
        <f aca="false">B17*Inputs!$E$25</f>
        <v>156.6432</v>
      </c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 t="s">
        <v>192</v>
      </c>
      <c r="B21" s="1" t="n">
        <f aca="false">ROUND(H9-(Inputs!$E$9*Inputs!$E$6*Inputs!$E$18*Inputs!$E$17+Inputs!$E$7*Inputs!$E$18*Inputs!$E$17*Inputs!$E$11*Inputs!$E$10+Inputs!$E$12*Inputs!$E$13*Inputs!$E$20+Inputs!$E$14*Inputs!$E$15*Inputs!$E$18*Inputs!$E$17),6)</f>
        <v>0</v>
      </c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 t="s">
        <v>193</v>
      </c>
      <c r="B22" s="1" t="n">
        <f aca="false">ROUND(B16-((Inputs!$E$9*Inputs!$E$6+Inputs!$E$7*Inputs!$E$10+Inputs!$E$14*Inputs!$E$15)*1000*Inputs!$E$22*Inputs!$E$23*Inputs!$E$24),6)</f>
        <v>0</v>
      </c>
      <c r="C22" s="1"/>
      <c r="D22" s="1"/>
      <c r="E22" s="1"/>
      <c r="F22" s="1"/>
      <c r="G22" s="1"/>
      <c r="H22" s="1"/>
      <c r="I2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6" t="s">
        <v>194</v>
      </c>
      <c r="B1" s="1"/>
      <c r="C1" s="1"/>
      <c r="D1" s="1"/>
    </row>
    <row r="2" customFormat="false" ht="15" hidden="false" customHeight="false" outlineLevel="0" collapsed="false">
      <c r="A2" s="7" t="s">
        <v>195</v>
      </c>
      <c r="B2" s="1"/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8" t="s">
        <v>196</v>
      </c>
      <c r="B4" s="8" t="s">
        <v>154</v>
      </c>
      <c r="C4" s="8" t="s">
        <v>197</v>
      </c>
      <c r="D4" s="1"/>
    </row>
    <row r="5" customFormat="false" ht="15" hidden="false" customHeight="false" outlineLevel="0" collapsed="false">
      <c r="A5" s="9" t="s">
        <v>198</v>
      </c>
      <c r="B5" s="13" t="n">
        <f aca="false">Inputs!$E$28</f>
        <v>350</v>
      </c>
      <c r="C5" s="9" t="s">
        <v>199</v>
      </c>
      <c r="D5" s="1"/>
    </row>
    <row r="6" customFormat="false" ht="15" hidden="false" customHeight="false" outlineLevel="0" collapsed="false">
      <c r="A6" s="9" t="s">
        <v>200</v>
      </c>
      <c r="B6" s="13" t="n">
        <f aca="false">Inputs!$E$29</f>
        <v>40</v>
      </c>
      <c r="C6" s="9" t="s">
        <v>201</v>
      </c>
      <c r="D6" s="1"/>
    </row>
    <row r="7" customFormat="false" ht="15" hidden="false" customHeight="false" outlineLevel="0" collapsed="false">
      <c r="A7" s="9" t="s">
        <v>160</v>
      </c>
      <c r="B7" s="13" t="n">
        <f aca="false">Inputs!$E$30*Deal_Value!B16</f>
        <v>66.6</v>
      </c>
      <c r="C7" s="9" t="s">
        <v>202</v>
      </c>
      <c r="D7" s="1"/>
    </row>
    <row r="8" customFormat="false" ht="15" hidden="false" customHeight="false" outlineLevel="0" collapsed="false">
      <c r="A8" s="19" t="s">
        <v>203</v>
      </c>
      <c r="B8" s="68" t="n">
        <f aca="false">SUM(B5:B7)</f>
        <v>456.6</v>
      </c>
      <c r="C8" s="1"/>
      <c r="D8" s="1"/>
    </row>
    <row r="9" customFormat="false" ht="15" hidden="false" customHeight="false" outlineLevel="0" collapsed="false">
      <c r="A9" s="1"/>
      <c r="B9" s="1"/>
      <c r="C9" s="1"/>
      <c r="D9" s="1"/>
    </row>
    <row r="10" customFormat="false" ht="15" hidden="false" customHeight="false" outlineLevel="0" collapsed="false">
      <c r="A10" s="8" t="s">
        <v>204</v>
      </c>
      <c r="B10" s="8" t="s">
        <v>154</v>
      </c>
      <c r="C10" s="8" t="s">
        <v>197</v>
      </c>
      <c r="D10" s="1"/>
    </row>
    <row r="11" customFormat="false" ht="15" hidden="false" customHeight="false" outlineLevel="0" collapsed="false">
      <c r="A11" s="9" t="s">
        <v>205</v>
      </c>
      <c r="B11" s="13" t="n">
        <f aca="false">Deal_Value!H9</f>
        <v>835.5</v>
      </c>
      <c r="C11" s="9" t="s">
        <v>206</v>
      </c>
      <c r="D11" s="1"/>
    </row>
    <row r="12" customFormat="false" ht="15" hidden="false" customHeight="false" outlineLevel="0" collapsed="false">
      <c r="A12" s="9" t="s">
        <v>207</v>
      </c>
      <c r="B12" s="13" t="n">
        <f aca="false">Deal_Value!B18</f>
        <v>156.6432</v>
      </c>
      <c r="C12" s="9" t="s">
        <v>208</v>
      </c>
      <c r="D12" s="1"/>
    </row>
    <row r="13" customFormat="false" ht="15" hidden="false" customHeight="false" outlineLevel="0" collapsed="false">
      <c r="A13" s="19" t="s">
        <v>209</v>
      </c>
      <c r="B13" s="68" t="n">
        <f aca="false">SUM(B11:B12)</f>
        <v>992.1432</v>
      </c>
      <c r="C13" s="1"/>
      <c r="D13" s="1"/>
    </row>
    <row r="14" customFormat="false" ht="15" hidden="false" customHeight="false" outlineLevel="0" collapsed="false">
      <c r="A14" s="1"/>
      <c r="B14" s="1"/>
      <c r="C14" s="1"/>
      <c r="D14" s="1"/>
    </row>
    <row r="15" customFormat="false" ht="15" hidden="false" customHeight="false" outlineLevel="0" collapsed="false">
      <c r="A15" s="8" t="s">
        <v>210</v>
      </c>
      <c r="B15" s="8" t="s">
        <v>21</v>
      </c>
      <c r="C15" s="8" t="s">
        <v>211</v>
      </c>
      <c r="D15" s="1"/>
    </row>
    <row r="16" customFormat="false" ht="15" hidden="false" customHeight="false" outlineLevel="0" collapsed="false">
      <c r="A16" s="9" t="s">
        <v>212</v>
      </c>
      <c r="B16" s="69" t="n">
        <f aca="false">B13/B8</f>
        <v>2.17289356110381</v>
      </c>
      <c r="C16" s="9" t="s">
        <v>213</v>
      </c>
      <c r="D16" s="1"/>
    </row>
    <row r="17" customFormat="false" ht="15" hidden="false" customHeight="false" outlineLevel="0" collapsed="false">
      <c r="A17" s="9" t="s">
        <v>214</v>
      </c>
      <c r="B17" s="70" t="n">
        <f aca="false">B5/B11</f>
        <v>0.418910831837223</v>
      </c>
      <c r="C17" s="9" t="s">
        <v>215</v>
      </c>
      <c r="D17" s="1"/>
    </row>
    <row r="18" customFormat="false" ht="15" hidden="false" customHeight="false" outlineLevel="0" collapsed="false">
      <c r="A18" s="9" t="s">
        <v>216</v>
      </c>
      <c r="B18" s="70" t="n">
        <f aca="false">B12/B8</f>
        <v>0.343064388961892</v>
      </c>
      <c r="C18" s="9" t="s">
        <v>217</v>
      </c>
      <c r="D18" s="1"/>
    </row>
    <row r="19" customFormat="false" ht="15" hidden="false" customHeight="false" outlineLevel="0" collapsed="false">
      <c r="A19" s="9" t="s">
        <v>218</v>
      </c>
      <c r="B19" s="67" t="n">
        <f aca="false">B5+B7</f>
        <v>416.6</v>
      </c>
      <c r="C19" s="9" t="s">
        <v>219</v>
      </c>
      <c r="D19" s="1"/>
    </row>
    <row r="20" customFormat="false" ht="15" hidden="false" customHeight="false" outlineLevel="0" collapsed="false">
      <c r="A20" s="9" t="s">
        <v>220</v>
      </c>
      <c r="B20" s="71" t="n">
        <f aca="false">B8/(Inputs!$E$33*1000*Inputs!$E$17)</f>
        <v>0.00603968253968254</v>
      </c>
      <c r="C20" s="9" t="s">
        <v>221</v>
      </c>
      <c r="D20" s="1"/>
    </row>
    <row r="21" customFormat="false" ht="15" hidden="false" customHeight="false" outlineLevel="0" collapsed="false">
      <c r="A21" s="9" t="s">
        <v>222</v>
      </c>
      <c r="B21" s="72" t="n">
        <f aca="false">Deal_Value!B15</f>
        <v>2220</v>
      </c>
      <c r="C21" s="9" t="s">
        <v>223</v>
      </c>
      <c r="D21" s="1"/>
    </row>
    <row r="22" customFormat="false" ht="15" hidden="false" customHeight="false" outlineLevel="0" collapsed="false">
      <c r="A22" s="9" t="s">
        <v>224</v>
      </c>
      <c r="B22" s="73" t="n">
        <f aca="false">B8/Deal_Value!D9</f>
        <v>6.29793103448276</v>
      </c>
      <c r="C22" s="9" t="s">
        <v>225</v>
      </c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15" hidden="false" customHeight="false" outlineLevel="0" collapsed="false">
      <c r="A24" s="1" t="s">
        <v>226</v>
      </c>
      <c r="B24" s="1" t="n">
        <f aca="false">ROUND(B16-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,6)</f>
        <v>0</v>
      </c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9" t="s">
        <v>227</v>
      </c>
      <c r="B27" s="1"/>
      <c r="C27" s="1"/>
      <c r="D27" s="1"/>
    </row>
    <row r="28" customFormat="false" ht="15" hidden="false" customHeight="false" outlineLevel="0" collapsed="false">
      <c r="A28" s="8" t="s">
        <v>228</v>
      </c>
      <c r="B28" s="8" t="s">
        <v>75</v>
      </c>
      <c r="C28" s="8" t="s">
        <v>76</v>
      </c>
      <c r="D28" s="8" t="s">
        <v>77</v>
      </c>
    </row>
    <row r="29" customFormat="false" ht="15" hidden="false" customHeight="false" outlineLevel="0" collapsed="false">
      <c r="A29" s="9" t="s">
        <v>179</v>
      </c>
      <c r="B29" s="59" t="n">
        <f aca="false">(Inputs!$E$9*Inputs!$D$6*Inputs!$D$18*Inputs!$E$17+Inputs!$D$7*Inputs!$D$18*Inputs!$E$17*Inputs!$D$11*Inputs!$D$10+Inputs!$E$12*Inputs!$D$13*Inputs!$D$20+Inputs!$E$14*Inputs!$D$15*Inputs!$D$18*Inputs!$E$17)</f>
        <v>306.5</v>
      </c>
      <c r="C29" s="59" t="n">
        <f aca="false">(Inputs!$E$9*Inputs!$E$6*Inputs!$E$18*Inputs!$E$17+Inputs!$E$7*Inputs!$E$18*Inputs!$E$17*Inputs!$E$11*Inputs!$E$10+Inputs!$E$12*Inputs!$E$13*Inputs!$E$20+Inputs!$E$14*Inputs!$E$15*Inputs!$E$18*Inputs!$E$17)</f>
        <v>835.5</v>
      </c>
      <c r="D29" s="59" t="n">
        <f aca="false">(Inputs!$E$9*Inputs!$F$6*Inputs!$F$18*Inputs!$E$17+Inputs!$F$7*Inputs!$F$18*Inputs!$E$17*Inputs!$F$11*Inputs!$F$10+Inputs!$E$12*Inputs!$F$13*Inputs!$F$20+Inputs!$E$14*Inputs!$F$15*Inputs!$F$18*Inputs!$E$17)</f>
        <v>1731</v>
      </c>
    </row>
    <row r="30" customFormat="false" ht="15" hidden="false" customHeight="false" outlineLevel="0" collapsed="false">
      <c r="A30" s="9" t="s">
        <v>27</v>
      </c>
      <c r="B30" s="59" t="n">
        <f aca="false">((Inputs!$E$9*Inputs!$D$6+Inputs!$D$7*Inputs!$D$10+Inputs!$E$14*Inputs!$D$15)*1000*Inputs!$D$22*Inputs!$D$23*Inputs!$D$24)</f>
        <v>122</v>
      </c>
      <c r="C30" s="59" t="n">
        <f aca="false">((Inputs!$E$9*Inputs!$E$6+Inputs!$E$7*Inputs!$E$10+Inputs!$E$14*Inputs!$E$15)*1000*Inputs!$E$22*Inputs!$E$23*Inputs!$E$24)</f>
        <v>666</v>
      </c>
      <c r="D30" s="59" t="n">
        <f aca="false">((Inputs!$E$9*Inputs!$F$6+Inputs!$F$7*Inputs!$F$10+Inputs!$E$14*Inputs!$F$15)*1000*Inputs!$F$22*Inputs!$F$23*Inputs!$F$24)</f>
        <v>4304</v>
      </c>
    </row>
    <row r="31" customFormat="false" ht="15" hidden="false" customHeight="false" outlineLevel="0" collapsed="false">
      <c r="A31" s="9" t="s">
        <v>229</v>
      </c>
      <c r="B31" s="59" t="n">
        <f aca="false">((Inputs!$E$9*Inputs!$D$6*Inputs!$D$18*Inputs!$E$17+Inputs!$D$7*Inputs!$D$18*Inputs!$E$17*Inputs!$D$11*Inputs!$D$10+Inputs!$E$12*Inputs!$D$13*Inputs!$D$20+Inputs!$E$14*Inputs!$D$15*Inputs!$D$18*Inputs!$E$17)+((Inputs!$E$9*Inputs!$D$6+Inputs!$D$7*Inputs!$D$10+Inputs!$E$14*Inputs!$D$15)*1000*Inputs!$D$22*Inputs!$D$23*Inputs!$D$24)*Inputs!$D$26*Inputs!$E$25)</f>
        <v>326.996</v>
      </c>
      <c r="C31" s="59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Inputs!$E$24)*Inputs!$E$26*Inputs!$E$25)</f>
        <v>992.1432</v>
      </c>
      <c r="D31" s="59" t="n">
        <f aca="false">((Inputs!$E$9*Inputs!$F$6*Inputs!$F$18*Inputs!$E$17+Inputs!$F$7*Inputs!$F$18*Inputs!$E$17*Inputs!$F$11*Inputs!$F$10+Inputs!$E$12*Inputs!$F$13*Inputs!$F$20+Inputs!$E$14*Inputs!$F$15*Inputs!$F$18*Inputs!$E$17)+((Inputs!$E$9*Inputs!$F$6+Inputs!$F$7*Inputs!$F$10+Inputs!$E$14*Inputs!$F$15)*1000*Inputs!$F$22*Inputs!$F$23*Inputs!$F$24)*Inputs!$F$26*Inputs!$E$25)</f>
        <v>3032.5296</v>
      </c>
    </row>
    <row r="32" customFormat="false" ht="15" hidden="false" customHeight="false" outlineLevel="0" collapsed="false">
      <c r="A32" s="9" t="s">
        <v>28</v>
      </c>
      <c r="B32" s="59" t="n">
        <f aca="false">(Inputs!$E$28+Inputs!$E$29+Inputs!$E$30*((Inputs!$E$9*Inputs!$D$6+Inputs!$D$7*Inputs!$D$10+Inputs!$E$14*Inputs!$D$15)*1000*Inputs!$D$22*Inputs!$D$23*Inputs!$D$24))</f>
        <v>402.2</v>
      </c>
      <c r="C32" s="59" t="n">
        <f aca="false">(Inputs!$E$28+Inputs!$E$29+Inputs!$E$30*((Inputs!$E$9*Inputs!$E$6+Inputs!$E$7*Inputs!$E$10+Inputs!$E$14*Inputs!$E$15)*1000*Inputs!$E$22*Inputs!$E$23*Inputs!$E$24))</f>
        <v>456.6</v>
      </c>
      <c r="D32" s="59" t="n">
        <f aca="false">(Inputs!$E$28+Inputs!$E$29+Inputs!$E$30*((Inputs!$E$9*Inputs!$F$6+Inputs!$F$7*Inputs!$F$10+Inputs!$E$14*Inputs!$F$15)*1000*Inputs!$F$22*Inputs!$F$23*Inputs!$F$24))</f>
        <v>820.4</v>
      </c>
    </row>
    <row r="33" customFormat="false" ht="15" hidden="false" customHeight="false" outlineLevel="0" collapsed="false">
      <c r="A33" s="9" t="s">
        <v>230</v>
      </c>
      <c r="B33" s="74" t="n">
        <f aca="false">((Inputs!$E$9*Inputs!$D$6*Inputs!$D$18*Inputs!$E$17+Inputs!$D$7*Inputs!$D$18*Inputs!$E$17*Inputs!$D$11*Inputs!$D$10+Inputs!$E$12*Inputs!$D$13*Inputs!$D$20+Inputs!$E$14*Inputs!$D$15*Inputs!$D$18*Inputs!$E$17)+((Inputs!$E$9*Inputs!$D$6+Inputs!$D$7*Inputs!$D$10+Inputs!$E$14*Inputs!$D$15)*1000*Inputs!$D$22*Inputs!$D$23*Inputs!$D$24)*Inputs!$D$26*Inputs!$E$25)/(Inputs!$E$28+Inputs!$E$29+Inputs!$E$30*((Inputs!$E$9*Inputs!$D$6+Inputs!$D$7*Inputs!$D$10+Inputs!$E$14*Inputs!$D$15)*1000*Inputs!$D$22*Inputs!$D$23*Inputs!$D$24))</f>
        <v>0.813018398806564</v>
      </c>
      <c r="C33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2.17289356110381</v>
      </c>
      <c r="D33" s="74" t="n">
        <f aca="false">((Inputs!$E$9*Inputs!$F$6*Inputs!$F$18*Inputs!$E$17+Inputs!$F$7*Inputs!$F$18*Inputs!$E$17*Inputs!$F$11*Inputs!$F$10+Inputs!$E$12*Inputs!$F$13*Inputs!$F$20+Inputs!$E$14*Inputs!$F$15*Inputs!$F$18*Inputs!$E$17)+((Inputs!$E$9*Inputs!$F$6+Inputs!$F$7*Inputs!$F$10+Inputs!$E$14*Inputs!$F$15)*1000*Inputs!$F$22*Inputs!$F$23*Inputs!$F$24)*Inputs!$F$26*Inputs!$E$25)/(Inputs!$E$28+Inputs!$E$29+Inputs!$E$30*((Inputs!$E$9*Inputs!$F$6+Inputs!$F$7*Inputs!$F$10+Inputs!$E$14*Inputs!$F$15)*1000*Inputs!$F$22*Inputs!$F$23*Inputs!$F$24))</f>
        <v>3.69640370550951</v>
      </c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7" t="s">
        <v>231</v>
      </c>
      <c r="B35" s="1"/>
      <c r="C35" s="1"/>
      <c r="D3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0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6" t="s">
        <v>232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233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9" t="s">
        <v>234</v>
      </c>
      <c r="B3" s="1"/>
      <c r="C3" s="1"/>
      <c r="D3" s="75" t="n">
        <f aca="false">Deal_Structure!B16</f>
        <v>2.17289356110381</v>
      </c>
      <c r="E3" s="1"/>
      <c r="F3" s="1"/>
      <c r="G3" s="1"/>
      <c r="H3" s="1"/>
    </row>
    <row r="4" customFormat="false" ht="23.85" hidden="false" customHeight="false" outlineLevel="0" collapsed="false">
      <c r="A4" s="8" t="s">
        <v>73</v>
      </c>
      <c r="B4" s="8" t="s">
        <v>75</v>
      </c>
      <c r="C4" s="8" t="s">
        <v>77</v>
      </c>
      <c r="D4" s="8" t="s">
        <v>235</v>
      </c>
      <c r="E4" s="8" t="s">
        <v>236</v>
      </c>
      <c r="F4" s="8" t="s">
        <v>237</v>
      </c>
      <c r="G4" s="8" t="s">
        <v>238</v>
      </c>
      <c r="H4" s="8" t="s">
        <v>239</v>
      </c>
    </row>
    <row r="5" customFormat="false" ht="15" hidden="false" customHeight="false" outlineLevel="0" collapsed="false">
      <c r="A5" s="76" t="str">
        <f aca="false">Inputs!B24</f>
        <v>Average order value</v>
      </c>
      <c r="B5" s="77" t="n">
        <f aca="false">Inputs!$D$24</f>
        <v>250</v>
      </c>
      <c r="C5" s="77" t="n">
        <f aca="false">Inputs!$F$24</f>
        <v>400</v>
      </c>
      <c r="D5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$B5)*Inputs!$E$26*Inputs!$E$25)/(Inputs!$E$28+Inputs!$E$29+Inputs!$E$30*((Inputs!$E$9*Inputs!$E$6+Inputs!$E$7*Inputs!$E$10+Inputs!$E$14*Inputs!$E$15)*1000*Inputs!$E$22*Inputs!$E$23*$B5))</f>
        <v>2.16843097643098</v>
      </c>
      <c r="E5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$C5)*Inputs!$E$26*Inputs!$E$25)/(Inputs!$E$28+Inputs!$E$29+Inputs!$E$30*((Inputs!$E$9*Inputs!$E$6+Inputs!$E$7*Inputs!$E$10+Inputs!$E$14*Inputs!$E$15)*1000*Inputs!$E$22*Inputs!$E$23*$C5))</f>
        <v>2.18119799498747</v>
      </c>
      <c r="F5" s="78" t="n">
        <f aca="false">D5-$D$3</f>
        <v>-0.00446258467283434</v>
      </c>
      <c r="G5" s="78" t="n">
        <f aca="false">E5-$D$3</f>
        <v>0.0083044338836582</v>
      </c>
      <c r="H5" s="74" t="n">
        <f aca="false">ABS(E5-D5)</f>
        <v>0.0127670185564925</v>
      </c>
    </row>
    <row r="6" customFormat="false" ht="15" hidden="false" customHeight="false" outlineLevel="0" collapsed="false">
      <c r="A6" s="76" t="str">
        <f aca="false">Inputs!B23</f>
        <v>Share of visitors who buy</v>
      </c>
      <c r="B6" s="61" t="n">
        <f aca="false">Inputs!$D$23</f>
        <v>0.02</v>
      </c>
      <c r="C6" s="61" t="n">
        <f aca="false">Inputs!$F$23</f>
        <v>0.05</v>
      </c>
      <c r="D6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$B6*Inputs!$E$24)*Inputs!$E$26*Inputs!$E$25)/(Inputs!$E$28+Inputs!$E$29+Inputs!$E$30*((Inputs!$E$9*Inputs!$E$6+Inputs!$E$7*Inputs!$E$10+Inputs!$E$14*Inputs!$E$15)*1000*Inputs!$E$22*$B6*Inputs!$E$24))</f>
        <v>2.16374033149171</v>
      </c>
      <c r="E6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$C6*Inputs!$E$24)*Inputs!$E$26*Inputs!$E$25)/(Inputs!$E$28+Inputs!$E$29+Inputs!$E$30*((Inputs!$E$9*Inputs!$E$6+Inputs!$E$7*Inputs!$E$10+Inputs!$E$14*Inputs!$E$15)*1000*Inputs!$E$22*$C6*Inputs!$E$24))</f>
        <v>2.18876646706587</v>
      </c>
      <c r="F6" s="78" t="n">
        <f aca="false">D6-$D$3</f>
        <v>-0.00915322961209775</v>
      </c>
      <c r="G6" s="78" t="n">
        <f aca="false">E6-$D$3</f>
        <v>0.0158729059620577</v>
      </c>
      <c r="H6" s="74" t="n">
        <f aca="false">ABS(E6-D6)</f>
        <v>0.0250261355741555</v>
      </c>
    </row>
    <row r="7" customFormat="false" ht="15" hidden="false" customHeight="false" outlineLevel="0" collapsed="false">
      <c r="A7" s="76" t="str">
        <f aca="false">Inputs!B22</f>
        <v>Share of long-form/event views who visit via link or code</v>
      </c>
      <c r="B7" s="17" t="n">
        <f aca="false">Inputs!$D$22</f>
        <v>0.001</v>
      </c>
      <c r="C7" s="17" t="n">
        <f aca="false">Inputs!$F$22</f>
        <v>0.004</v>
      </c>
      <c r="D7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$B7*Inputs!$E$23*Inputs!$E$24)*Inputs!$E$26*Inputs!$E$25)/(Inputs!$E$28+Inputs!$E$29+Inputs!$E$30*((Inputs!$E$9*Inputs!$E$6+Inputs!$E$7*Inputs!$E$10+Inputs!$E$14*Inputs!$E$15)*1000*$B7*Inputs!$E$23*Inputs!$E$24))</f>
        <v>2.15880368532955</v>
      </c>
      <c r="E7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$C7*Inputs!$E$23*Inputs!$E$24)*Inputs!$E$26*Inputs!$E$25)/(Inputs!$E$28+Inputs!$E$29+Inputs!$E$30*((Inputs!$E$9*Inputs!$E$6+Inputs!$E$7*Inputs!$E$10+Inputs!$E$14*Inputs!$E$15)*1000*$C7*Inputs!$E$23*Inputs!$E$24))</f>
        <v>2.19569266055046</v>
      </c>
      <c r="F7" s="78" t="n">
        <f aca="false">D7-$D$3</f>
        <v>-0.0140898757742574</v>
      </c>
      <c r="G7" s="78" t="n">
        <f aca="false">E7-$D$3</f>
        <v>0.0227990994466478</v>
      </c>
      <c r="H7" s="74" t="n">
        <f aca="false">ABS(E7-D7)</f>
        <v>0.0368889752209052</v>
      </c>
    </row>
    <row r="8" customFormat="false" ht="15" hidden="false" customHeight="false" outlineLevel="0" collapsed="false">
      <c r="A8" s="76" t="str">
        <f aca="false">Inputs!B15</f>
        <v>Views per behind-the-scenes vlog</v>
      </c>
      <c r="B8" s="12" t="n">
        <f aca="false">Inputs!$D$15</f>
        <v>2</v>
      </c>
      <c r="C8" s="12" t="n">
        <f aca="false">Inputs!$F$15</f>
        <v>4</v>
      </c>
      <c r="D8" s="74" t="n">
        <f aca="false">((Inputs!$E$9*Inputs!$E$6*Inputs!$E$18*Inputs!$E$17+Inputs!$E$7*Inputs!$E$18*Inputs!$E$17*Inputs!$E$11*Inputs!$E$10+Inputs!$E$12*Inputs!$E$13*Inputs!$E$20+Inputs!$E$14*$B8*Inputs!$E$18*Inputs!$E$17)+((Inputs!$E$9*Inputs!$E$6+Inputs!$E$7*Inputs!$E$10+Inputs!$E$14*$B8)*1000*Inputs!$E$22*Inputs!$E$23*Inputs!$E$24)*Inputs!$E$26*Inputs!$E$25)/(Inputs!$E$28+Inputs!$E$29+Inputs!$E$30*((Inputs!$E$9*Inputs!$E$6+Inputs!$E$7*Inputs!$E$10+Inputs!$E$14*$B8)*1000*Inputs!$E$22*Inputs!$E$23*Inputs!$E$24))</f>
        <v>2.092</v>
      </c>
      <c r="E8" s="74" t="n">
        <f aca="false">((Inputs!$E$9*Inputs!$E$6*Inputs!$E$18*Inputs!$E$17+Inputs!$E$7*Inputs!$E$18*Inputs!$E$17*Inputs!$E$11*Inputs!$E$10+Inputs!$E$12*Inputs!$E$13*Inputs!$E$20+Inputs!$E$14*$C8*Inputs!$E$18*Inputs!$E$17)+((Inputs!$E$9*Inputs!$E$6+Inputs!$E$7*Inputs!$E$10+Inputs!$E$14*$C8)*1000*Inputs!$E$22*Inputs!$E$23*Inputs!$E$24)*Inputs!$E$26*Inputs!$E$25)/(Inputs!$E$28+Inputs!$E$29+Inputs!$E$30*((Inputs!$E$9*Inputs!$E$6+Inputs!$E$7*Inputs!$E$10+Inputs!$E$14*$C8)*1000*Inputs!$E$22*Inputs!$E$23*Inputs!$E$24))</f>
        <v>2.25252151238592</v>
      </c>
      <c r="F8" s="78" t="n">
        <f aca="false">D8-$D$3</f>
        <v>-0.0808935611038106</v>
      </c>
      <c r="G8" s="78" t="n">
        <f aca="false">E8-$D$3</f>
        <v>0.0796279512821085</v>
      </c>
      <c r="H8" s="74" t="n">
        <f aca="false">ABS(E8-D8)</f>
        <v>0.160521512385919</v>
      </c>
    </row>
    <row r="9" customFormat="false" ht="15" hidden="false" customHeight="false" outlineLevel="0" collapsed="false">
      <c r="A9" s="76" t="str">
        <f aca="false">Inputs!B7</f>
        <v>Charity Match stream views</v>
      </c>
      <c r="B9" s="12" t="n">
        <f aca="false">Inputs!$D$7</f>
        <v>8</v>
      </c>
      <c r="C9" s="12" t="n">
        <f aca="false">Inputs!$F$7</f>
        <v>14</v>
      </c>
      <c r="D9" s="74" t="n">
        <f aca="false">((Inputs!$E$9*Inputs!$E$6*Inputs!$E$18*Inputs!$E$17+$B9*Inputs!$E$18*Inputs!$E$17*Inputs!$E$11*Inputs!$E$10+Inputs!$E$12*Inputs!$E$13*Inputs!$E$20+Inputs!$E$14*Inputs!$E$15*Inputs!$E$18*Inputs!$E$17)+((Inputs!$E$9*Inputs!$E$6+$B9*Inputs!$E$10+Inputs!$E$14*Inputs!$E$15)*1000*Inputs!$E$22*Inputs!$E$23*Inputs!$E$24)*Inputs!$E$26*Inputs!$E$25)/(Inputs!$E$28+Inputs!$E$29+Inputs!$E$30*((Inputs!$E$9*Inputs!$E$6+$B9*Inputs!$E$10+Inputs!$E$14*Inputs!$E$15)*1000*Inputs!$E$22*Inputs!$E$23*Inputs!$E$24))</f>
        <v>2.08260145406477</v>
      </c>
      <c r="E9" s="74" t="n">
        <f aca="false">((Inputs!$E$9*Inputs!$E$6*Inputs!$E$18*Inputs!$E$17+$C9*Inputs!$E$18*Inputs!$E$17*Inputs!$E$11*Inputs!$E$10+Inputs!$E$12*Inputs!$E$13*Inputs!$E$20+Inputs!$E$14*Inputs!$E$15*Inputs!$E$18*Inputs!$E$17)+((Inputs!$E$9*Inputs!$E$6+$C9*Inputs!$E$10+Inputs!$E$14*Inputs!$E$15)*1000*Inputs!$E$22*Inputs!$E$23*Inputs!$E$24)*Inputs!$E$26*Inputs!$E$25)/(Inputs!$E$28+Inputs!$E$29+Inputs!$E$30*((Inputs!$E$9*Inputs!$E$6+$C9*Inputs!$E$10+Inputs!$E$14*Inputs!$E$15)*1000*Inputs!$E$22*Inputs!$E$23*Inputs!$E$24))</f>
        <v>2.26212410189419</v>
      </c>
      <c r="F9" s="78" t="n">
        <f aca="false">D9-$D$3</f>
        <v>-0.0902921070390388</v>
      </c>
      <c r="G9" s="78" t="n">
        <f aca="false">E9-$D$3</f>
        <v>0.0892305407903762</v>
      </c>
      <c r="H9" s="74" t="n">
        <f aca="false">ABS(E9-D9)</f>
        <v>0.179522647829415</v>
      </c>
    </row>
    <row r="10" customFormat="false" ht="15" hidden="false" customHeight="false" outlineLevel="0" collapsed="false">
      <c r="A10" s="76" t="str">
        <f aca="false">Inputs!B26</f>
        <v>Share of code sales that are incremental</v>
      </c>
      <c r="B10" s="61" t="n">
        <f aca="false">Inputs!$D$26</f>
        <v>0.5</v>
      </c>
      <c r="C10" s="61" t="n">
        <f aca="false">Inputs!$F$26</f>
        <v>0.9</v>
      </c>
      <c r="D10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Inputs!$E$24)*$B10*Inputs!$E$25)/(Inputs!$E$28+Inputs!$E$29+Inputs!$E$30*((Inputs!$E$9*Inputs!$E$6+Inputs!$E$7*Inputs!$E$10+Inputs!$E$14*Inputs!$E$15)*1000*Inputs!$E$22*Inputs!$E$23*Inputs!$E$24))</f>
        <v>2.07487516425756</v>
      </c>
      <c r="E10" s="74" t="n">
        <f aca="false">((Inputs!$E$9*Inputs!$E$6*Inputs!$E$18*Inputs!$E$17+Inputs!$E$7*Inputs!$E$18*Inputs!$E$17*Inputs!$E$11*Inputs!$E$10+Inputs!$E$12*Inputs!$E$13*Inputs!$E$20+Inputs!$E$14*Inputs!$E$15*Inputs!$E$18*Inputs!$E$17)+((Inputs!$E$9*Inputs!$E$6+Inputs!$E$7*Inputs!$E$10+Inputs!$E$14*Inputs!$E$15)*1000*Inputs!$E$22*Inputs!$E$23*Inputs!$E$24)*$C10*Inputs!$E$25)/(Inputs!$E$28+Inputs!$E$29+Inputs!$E$30*((Inputs!$E$9*Inputs!$E$6+Inputs!$E$7*Inputs!$E$10+Inputs!$E$14*Inputs!$E$15)*1000*Inputs!$E$22*Inputs!$E$23*Inputs!$E$24))</f>
        <v>2.27091195795007</v>
      </c>
      <c r="F10" s="78" t="n">
        <f aca="false">D10-$D$3</f>
        <v>-0.0980183968462547</v>
      </c>
      <c r="G10" s="78" t="n">
        <f aca="false">E10-$D$3</f>
        <v>0.0980183968462551</v>
      </c>
      <c r="H10" s="74" t="n">
        <f aca="false">ABS(E10-D10)</f>
        <v>0.19603679369251</v>
      </c>
    </row>
    <row r="11" customFormat="false" ht="15" hidden="false" customHeight="false" outlineLevel="0" collapsed="false">
      <c r="A11" s="76" t="str">
        <f aca="false">Inputs!B11</f>
        <v>Event premium for exclusivity, live reach and press</v>
      </c>
      <c r="B11" s="62" t="n">
        <f aca="false">Inputs!$D$11</f>
        <v>1</v>
      </c>
      <c r="C11" s="62" t="n">
        <f aca="false">Inputs!$F$11</f>
        <v>2</v>
      </c>
      <c r="D11" s="74" t="n">
        <f aca="false">((Inputs!$E$9*Inputs!$E$6*Inputs!$E$18*Inputs!$E$17+Inputs!$E$7*Inputs!$E$18*Inputs!$E$17*$B11*Inputs!$E$10+Inputs!$E$12*Inputs!$E$13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2.06448357424442</v>
      </c>
      <c r="E11" s="74" t="n">
        <f aca="false">((Inputs!$E$9*Inputs!$E$6*Inputs!$E$18*Inputs!$E$17+Inputs!$E$7*Inputs!$E$18*Inputs!$E$17*$C11*Inputs!$E$10+Inputs!$E$12*Inputs!$E$13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2.28130354796321</v>
      </c>
      <c r="F11" s="78" t="n">
        <f aca="false">D11-$D$3</f>
        <v>-0.108409986859396</v>
      </c>
      <c r="G11" s="78" t="n">
        <f aca="false">E11-$D$3</f>
        <v>0.108409986859396</v>
      </c>
      <c r="H11" s="74" t="n">
        <f aca="false">ABS(E11-D11)</f>
        <v>0.216819973718791</v>
      </c>
    </row>
    <row r="12" customFormat="false" ht="15" hidden="false" customHeight="false" outlineLevel="0" collapsed="false">
      <c r="A12" s="76" t="str">
        <f aca="false">Inputs!B20</f>
        <v>Short-form CPM (£ per 1,000 views)</v>
      </c>
      <c r="B12" s="77" t="n">
        <f aca="false">Inputs!$D$20</f>
        <v>2</v>
      </c>
      <c r="C12" s="77" t="n">
        <f aca="false">Inputs!$F$20</f>
        <v>6</v>
      </c>
      <c r="D12" s="74" t="n">
        <f aca="false">((Inputs!$E$9*Inputs!$E$6*Inputs!$E$18*Inputs!$E$17+Inputs!$E$7*Inputs!$E$18*Inputs!$E$17*Inputs!$E$11*Inputs!$E$10+Inputs!$E$12*Inputs!$E$13*$B12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2.04148751642576</v>
      </c>
      <c r="E12" s="74" t="n">
        <f aca="false">((Inputs!$E$9*Inputs!$E$6*Inputs!$E$18*Inputs!$E$17+Inputs!$E$7*Inputs!$E$18*Inputs!$E$17*Inputs!$E$11*Inputs!$E$10+Inputs!$E$12*Inputs!$E$13*$C12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2.30429960578187</v>
      </c>
      <c r="F12" s="78" t="n">
        <f aca="false">D12-$D$3</f>
        <v>-0.131406044678055</v>
      </c>
      <c r="G12" s="78" t="n">
        <f aca="false">E12-$D$3</f>
        <v>0.131406044678055</v>
      </c>
      <c r="H12" s="74" t="n">
        <f aca="false">ABS(E12-D12)</f>
        <v>0.26281208935611</v>
      </c>
    </row>
    <row r="13" customFormat="false" ht="15" hidden="false" customHeight="false" outlineLevel="0" collapsed="false">
      <c r="A13" s="76" t="str">
        <f aca="false">Inputs!B10</f>
        <v>GoPro prominence in Charity Match stream</v>
      </c>
      <c r="B13" s="61" t="n">
        <f aca="false">Inputs!$D$10</f>
        <v>0.3</v>
      </c>
      <c r="C13" s="61" t="n">
        <f aca="false">Inputs!$F$10</f>
        <v>0.7</v>
      </c>
      <c r="D13" s="74" t="n">
        <f aca="false">((Inputs!$E$9*Inputs!$E$6*Inputs!$E$18*Inputs!$E$17+Inputs!$E$7*Inputs!$E$18*Inputs!$E$17*Inputs!$E$11*$B13+Inputs!$E$12*Inputs!$E$13*Inputs!$E$20+Inputs!$E$14*Inputs!$E$15*Inputs!$E$18*Inputs!$E$17)+((Inputs!$E$9*Inputs!$E$6+Inputs!$E$7*$B13+Inputs!$E$14*Inputs!$E$15)*1000*Inputs!$E$22*Inputs!$E$23*Inputs!$E$24)*Inputs!$E$26*Inputs!$E$25)/(Inputs!$E$28+Inputs!$E$29+Inputs!$E$30*((Inputs!$E$9*Inputs!$E$6+Inputs!$E$7*$B13+Inputs!$E$14*Inputs!$E$15)*1000*Inputs!$E$22*Inputs!$E$23*Inputs!$E$24))</f>
        <v>2.04009650053022</v>
      </c>
      <c r="E13" s="74" t="n">
        <f aca="false">((Inputs!$E$9*Inputs!$E$6*Inputs!$E$18*Inputs!$E$17+Inputs!$E$7*Inputs!$E$18*Inputs!$E$17*Inputs!$E$11*$C13+Inputs!$E$12*Inputs!$E$13*Inputs!$E$20+Inputs!$E$14*Inputs!$E$15*Inputs!$E$18*Inputs!$E$17)+((Inputs!$E$9*Inputs!$E$6+Inputs!$E$7*$C13+Inputs!$E$14*Inputs!$E$15)*1000*Inputs!$E$22*Inputs!$E$23*Inputs!$E$24)*Inputs!$E$26*Inputs!$E$25)/(Inputs!$E$28+Inputs!$E$29+Inputs!$E$30*((Inputs!$E$9*Inputs!$E$6+Inputs!$E$7*$C13+Inputs!$E$14*Inputs!$E$15)*1000*Inputs!$E$22*Inputs!$E$23*Inputs!$E$24))</f>
        <v>2.30340698280354</v>
      </c>
      <c r="F13" s="78" t="n">
        <f aca="false">D13-$D$3</f>
        <v>-0.132797060573588</v>
      </c>
      <c r="G13" s="78" t="n">
        <f aca="false">E13-$D$3</f>
        <v>0.130513421699733</v>
      </c>
      <c r="H13" s="74" t="n">
        <f aca="false">ABS(E13-D13)</f>
        <v>0.263310482273321</v>
      </c>
    </row>
    <row r="14" customFormat="false" ht="15" hidden="false" customHeight="false" outlineLevel="0" collapsed="false">
      <c r="A14" s="76" t="str">
        <f aca="false">Inputs!B13</f>
        <v>Views per short-form clip</v>
      </c>
      <c r="B14" s="12" t="n">
        <f aca="false">Inputs!$D$13</f>
        <v>0.8</v>
      </c>
      <c r="C14" s="12" t="n">
        <f aca="false">Inputs!$F$13</f>
        <v>2.5</v>
      </c>
      <c r="D14" s="74" t="n">
        <f aca="false">((Inputs!$E$9*Inputs!$E$6*Inputs!$E$18*Inputs!$E$17+Inputs!$E$7*Inputs!$E$18*Inputs!$E$17*Inputs!$E$11*Inputs!$E$10+Inputs!$E$12*$B14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2.05024791940429</v>
      </c>
      <c r="E14" s="74" t="n">
        <f aca="false">((Inputs!$E$9*Inputs!$E$6*Inputs!$E$18*Inputs!$E$17+Inputs!$E$7*Inputs!$E$18*Inputs!$E$17*Inputs!$E$11*Inputs!$E$10+Inputs!$E$12*$C14*Inputs!$E$20+Inputs!$E$14*Inputs!$E$15*Inputs!$E$18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2.34810162067455</v>
      </c>
      <c r="F14" s="78" t="n">
        <f aca="false">D14-$D$3</f>
        <v>-0.122645641699518</v>
      </c>
      <c r="G14" s="78" t="n">
        <f aca="false">E14-$D$3</f>
        <v>0.17520805957074</v>
      </c>
      <c r="H14" s="74" t="n">
        <f aca="false">ABS(E14-D14)</f>
        <v>0.297853701270259</v>
      </c>
    </row>
    <row r="15" customFormat="false" ht="15" hidden="false" customHeight="false" outlineLevel="0" collapsed="false">
      <c r="A15" s="76" t="str">
        <f aca="false">Inputs!B6</f>
        <v>Sidemen main-channel views per video (recent median)</v>
      </c>
      <c r="B15" s="12" t="n">
        <f aca="false">Inputs!$D$6</f>
        <v>6</v>
      </c>
      <c r="C15" s="12" t="n">
        <f aca="false">Inputs!$F$6</f>
        <v>12</v>
      </c>
      <c r="D15" s="74" t="n">
        <f aca="false">((Inputs!$E$9*$B15*Inputs!$E$18*Inputs!$E$17+Inputs!$E$7*Inputs!$E$18*Inputs!$E$17*Inputs!$E$11*Inputs!$E$10+Inputs!$E$12*Inputs!$E$13*Inputs!$E$20+Inputs!$E$14*Inputs!$E$15*Inputs!$E$18*Inputs!$E$17)+((Inputs!$E$9*$B15+Inputs!$E$7*Inputs!$E$10+Inputs!$E$14*Inputs!$E$15)*1000*Inputs!$E$22*Inputs!$E$23*Inputs!$E$24)*Inputs!$E$26*Inputs!$E$25)/(Inputs!$E$28+Inputs!$E$29+Inputs!$E$30*((Inputs!$E$9*$B15+Inputs!$E$7*Inputs!$E$10+Inputs!$E$14*Inputs!$E$15)*1000*Inputs!$E$22*Inputs!$E$23*Inputs!$E$24))</f>
        <v>1.86276506431957</v>
      </c>
      <c r="E15" s="74" t="n">
        <f aca="false">((Inputs!$E$9*$C15*Inputs!$E$18*Inputs!$E$17+Inputs!$E$7*Inputs!$E$18*Inputs!$E$17*Inputs!$E$11*Inputs!$E$10+Inputs!$E$12*Inputs!$E$13*Inputs!$E$20+Inputs!$E$14*Inputs!$E$15*Inputs!$E$18*Inputs!$E$17)+((Inputs!$E$9*$C15+Inputs!$E$7*Inputs!$E$10+Inputs!$E$14*Inputs!$E$15)*1000*Inputs!$E$22*Inputs!$E$23*Inputs!$E$24)*Inputs!$E$26*Inputs!$E$25)/(Inputs!$E$28+Inputs!$E$29+Inputs!$E$30*((Inputs!$E$9*$C15+Inputs!$E$7*Inputs!$E$10+Inputs!$E$14*Inputs!$E$15)*1000*Inputs!$E$22*Inputs!$E$23*Inputs!$E$24))</f>
        <v>2.57748895899054</v>
      </c>
      <c r="F15" s="78" t="n">
        <f aca="false">D15-$D$3</f>
        <v>-0.310128496784244</v>
      </c>
      <c r="G15" s="78" t="n">
        <f aca="false">E15-$D$3</f>
        <v>0.404595397886725</v>
      </c>
      <c r="H15" s="74" t="n">
        <f aca="false">ABS(E15-D15)</f>
        <v>0.71472389467097</v>
      </c>
    </row>
    <row r="16" customFormat="false" ht="15" hidden="false" customHeight="false" outlineLevel="0" collapsed="false">
      <c r="A16" s="76" t="str">
        <f aca="false">Inputs!B18</f>
        <v>Long-form sponsorship CPM (US$ per 1,000 views)</v>
      </c>
      <c r="B16" s="79" t="n">
        <f aca="false">Inputs!$D$18</f>
        <v>15</v>
      </c>
      <c r="C16" s="79" t="n">
        <f aca="false">Inputs!$F$18</f>
        <v>30</v>
      </c>
      <c r="D16" s="74" t="n">
        <f aca="false">((Inputs!$E$9*Inputs!$E$6*$B16*Inputs!$E$17+Inputs!$E$7*$B16*Inputs!$E$17*Inputs!$E$11*Inputs!$E$10+Inputs!$E$12*Inputs!$E$13*Inputs!$E$20+Inputs!$E$14*Inputs!$E$15*$B16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1.58526215505913</v>
      </c>
      <c r="E16" s="74" t="n">
        <f aca="false">((Inputs!$E$9*Inputs!$E$6*$C16*Inputs!$E$17+Inputs!$E$7*$C16*Inputs!$E$17*Inputs!$E$11*Inputs!$E$10+Inputs!$E$12*Inputs!$E$13*Inputs!$E$20+Inputs!$E$14*Inputs!$E$15*$C16*Inputs!$E$17)+((Inputs!$E$9*Inputs!$E$6+Inputs!$E$7*Inputs!$E$10+Inputs!$E$14*Inputs!$E$15)*1000*Inputs!$E$22*Inputs!$E$23*Inputs!$E$24)*Inputs!$E$26*Inputs!$E$25)/(Inputs!$E$28+Inputs!$E$29+Inputs!$E$30*((Inputs!$E$9*Inputs!$E$6+Inputs!$E$7*Inputs!$E$10+Inputs!$E$14*Inputs!$E$15)*1000*Inputs!$E$22*Inputs!$E$23*Inputs!$E$24))</f>
        <v>2.56464783180026</v>
      </c>
      <c r="F16" s="78" t="n">
        <f aca="false">D16-$D$3</f>
        <v>-0.587631406044678</v>
      </c>
      <c r="G16" s="78" t="n">
        <f aca="false">E16-$D$3</f>
        <v>0.391754270696452</v>
      </c>
      <c r="H16" s="74" t="n">
        <f aca="false">ABS(E16-D16)</f>
        <v>0.97938567674113</v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7" t="s">
        <v>240</v>
      </c>
      <c r="B18" s="1"/>
      <c r="C18" s="1"/>
      <c r="D18" s="1"/>
      <c r="E18" s="1"/>
      <c r="F18" s="1"/>
      <c r="G18" s="1"/>
      <c r="H1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6" t="s">
        <v>241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7" t="s">
        <v>242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8"/>
      <c r="B4" s="8" t="s">
        <v>243</v>
      </c>
      <c r="C4" s="8" t="s">
        <v>244</v>
      </c>
      <c r="D4" s="8" t="s">
        <v>245</v>
      </c>
      <c r="E4" s="8" t="s">
        <v>197</v>
      </c>
      <c r="F4" s="1"/>
    </row>
    <row r="5" customFormat="false" ht="43.5" hidden="false" customHeight="true" outlineLevel="0" collapsed="false">
      <c r="A5" s="80" t="s">
        <v>246</v>
      </c>
      <c r="B5" s="32" t="s">
        <v>247</v>
      </c>
      <c r="C5" s="32" t="s">
        <v>248</v>
      </c>
      <c r="D5" s="32" t="s">
        <v>249</v>
      </c>
      <c r="E5" s="32" t="s">
        <v>250</v>
      </c>
      <c r="F5" s="1"/>
    </row>
    <row r="6" customFormat="false" ht="43.5" hidden="false" customHeight="true" outlineLevel="0" collapsed="false">
      <c r="A6" s="80" t="s">
        <v>251</v>
      </c>
      <c r="B6" s="32" t="s">
        <v>252</v>
      </c>
      <c r="C6" s="32" t="s">
        <v>253</v>
      </c>
      <c r="D6" s="32" t="s">
        <v>254</v>
      </c>
      <c r="E6" s="32"/>
      <c r="F6" s="1"/>
    </row>
    <row r="7" customFormat="false" ht="43.5" hidden="false" customHeight="true" outlineLevel="0" collapsed="false">
      <c r="A7" s="80" t="s">
        <v>255</v>
      </c>
      <c r="B7" s="32" t="s">
        <v>256</v>
      </c>
      <c r="C7" s="32" t="s">
        <v>257</v>
      </c>
      <c r="D7" s="32" t="s">
        <v>258</v>
      </c>
      <c r="E7" s="32" t="s">
        <v>259</v>
      </c>
      <c r="F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15" hidden="false" customHeight="false" outlineLevel="0" collapsed="false">
      <c r="A9" s="19" t="s">
        <v>260</v>
      </c>
      <c r="B9" s="1"/>
      <c r="C9" s="1"/>
      <c r="D9" s="1"/>
      <c r="E9" s="1"/>
      <c r="F9" s="19" t="s">
        <v>47</v>
      </c>
    </row>
    <row r="10" customFormat="false" ht="15" hidden="false" customHeight="false" outlineLevel="0" collapsed="false">
      <c r="A10" s="9" t="s">
        <v>37</v>
      </c>
      <c r="B10" s="29" t="n">
        <v>5</v>
      </c>
      <c r="C10" s="29" t="n">
        <v>3</v>
      </c>
      <c r="D10" s="29" t="n">
        <v>2</v>
      </c>
      <c r="E10" s="1"/>
      <c r="F10" s="21" t="n">
        <f aca="false">Scorecard!B$4</f>
        <v>0.2</v>
      </c>
    </row>
    <row r="11" customFormat="false" ht="15" hidden="false" customHeight="false" outlineLevel="0" collapsed="false">
      <c r="A11" s="9" t="s">
        <v>38</v>
      </c>
      <c r="B11" s="29" t="n">
        <v>4</v>
      </c>
      <c r="C11" s="29" t="n">
        <v>3</v>
      </c>
      <c r="D11" s="29" t="n">
        <v>2</v>
      </c>
      <c r="E11" s="1"/>
      <c r="F11" s="21" t="n">
        <f aca="false">Scorecard!C$4</f>
        <v>0.25</v>
      </c>
    </row>
    <row r="12" customFormat="false" ht="15" hidden="false" customHeight="false" outlineLevel="0" collapsed="false">
      <c r="A12" s="9" t="s">
        <v>39</v>
      </c>
      <c r="B12" s="29" t="n">
        <v>5</v>
      </c>
      <c r="C12" s="29" t="n">
        <v>5</v>
      </c>
      <c r="D12" s="29" t="n">
        <v>5</v>
      </c>
      <c r="E12" s="1"/>
      <c r="F12" s="21" t="n">
        <f aca="false">Scorecard!D$4</f>
        <v>0.15</v>
      </c>
    </row>
    <row r="13" customFormat="false" ht="15" hidden="false" customHeight="false" outlineLevel="0" collapsed="false">
      <c r="A13" s="9" t="s">
        <v>40</v>
      </c>
      <c r="B13" s="29" t="n">
        <v>4</v>
      </c>
      <c r="C13" s="29" t="n">
        <v>5</v>
      </c>
      <c r="D13" s="29" t="n">
        <v>5</v>
      </c>
      <c r="E13" s="1"/>
      <c r="F13" s="21" t="n">
        <f aca="false">Scorecard!E$4</f>
        <v>0.15</v>
      </c>
    </row>
    <row r="14" customFormat="false" ht="15" hidden="false" customHeight="false" outlineLevel="0" collapsed="false">
      <c r="A14" s="9" t="s">
        <v>41</v>
      </c>
      <c r="B14" s="29" t="n">
        <v>4</v>
      </c>
      <c r="C14" s="29" t="n">
        <v>4</v>
      </c>
      <c r="D14" s="29" t="n">
        <v>4</v>
      </c>
      <c r="E14" s="1"/>
      <c r="F14" s="21" t="n">
        <f aca="false">Scorecard!F$4</f>
        <v>0.1</v>
      </c>
    </row>
    <row r="15" customFormat="false" ht="15" hidden="false" customHeight="false" outlineLevel="0" collapsed="false">
      <c r="A15" s="9" t="s">
        <v>42</v>
      </c>
      <c r="B15" s="29" t="n">
        <v>4</v>
      </c>
      <c r="C15" s="29" t="n">
        <v>4</v>
      </c>
      <c r="D15" s="29" t="n">
        <v>3</v>
      </c>
      <c r="E15" s="1"/>
      <c r="F15" s="21" t="n">
        <f aca="false">Scorecard!G$4</f>
        <v>0.15</v>
      </c>
    </row>
    <row r="16" customFormat="false" ht="15" hidden="false" customHeight="false" outlineLevel="0" collapsed="false">
      <c r="A16" s="19" t="s">
        <v>43</v>
      </c>
      <c r="B16" s="24" t="n">
        <f aca="false">SUMPRODUCT($F$10:$F$15,B10:B15)</f>
        <v>4.35</v>
      </c>
      <c r="C16" s="24" t="n">
        <f aca="false">SUMPRODUCT($F$10:$F$15,C10:C15)</f>
        <v>3.85</v>
      </c>
      <c r="D16" s="24" t="n">
        <f aca="false">SUMPRODUCT($F$10:$F$15,D10:D15)</f>
        <v>3.25</v>
      </c>
      <c r="E16" s="1"/>
      <c r="F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19" t="s">
        <v>261</v>
      </c>
      <c r="B18" s="1"/>
      <c r="C18" s="1"/>
      <c r="D18" s="1"/>
      <c r="E18" s="1"/>
      <c r="F18" s="1"/>
    </row>
    <row r="19" customFormat="false" ht="15" hidden="false" customHeight="false" outlineLevel="0" collapsed="false">
      <c r="A19" s="9" t="s">
        <v>262</v>
      </c>
      <c r="B19" s="39" t="n">
        <v>3</v>
      </c>
      <c r="C19" s="39" t="n">
        <v>2</v>
      </c>
      <c r="D19" s="39" t="n">
        <v>1</v>
      </c>
      <c r="E19" s="3" t="s">
        <v>263</v>
      </c>
      <c r="F19" s="1"/>
    </row>
    <row r="20" customFormat="false" ht="15" hidden="false" customHeight="false" outlineLevel="0" collapsed="false">
      <c r="A20" s="9" t="s">
        <v>264</v>
      </c>
      <c r="B20" s="39" t="n">
        <v>15</v>
      </c>
      <c r="C20" s="39" t="n">
        <v>6</v>
      </c>
      <c r="D20" s="39" t="n">
        <v>0</v>
      </c>
      <c r="E20" s="1"/>
      <c r="F20" s="1"/>
    </row>
    <row r="21" customFormat="false" ht="15" hidden="false" customHeight="false" outlineLevel="0" collapsed="false">
      <c r="A21" s="9" t="s">
        <v>265</v>
      </c>
      <c r="B21" s="51" t="n">
        <v>0.004</v>
      </c>
      <c r="C21" s="51" t="n">
        <v>0.0015</v>
      </c>
      <c r="D21" s="51" t="n">
        <v>0.0005</v>
      </c>
      <c r="E21" s="3" t="s">
        <v>266</v>
      </c>
      <c r="F21" s="1"/>
    </row>
    <row r="22" customFormat="false" ht="15" hidden="false" customHeight="false" outlineLevel="0" collapsed="false">
      <c r="A22" s="9" t="s">
        <v>267</v>
      </c>
      <c r="B22" s="43" t="n">
        <v>0.4</v>
      </c>
      <c r="C22" s="43" t="n">
        <v>0.08</v>
      </c>
      <c r="D22" s="43" t="n">
        <v>0.03</v>
      </c>
      <c r="E22" s="1"/>
      <c r="F22" s="1"/>
    </row>
    <row r="23" customFormat="false" ht="22.35" hidden="false" customHeight="false" outlineLevel="0" collapsed="false">
      <c r="A23" s="9" t="s">
        <v>268</v>
      </c>
      <c r="B23" s="81" t="n">
        <v>4</v>
      </c>
      <c r="C23" s="81" t="n">
        <v>15</v>
      </c>
      <c r="D23" s="81" t="n">
        <v>400</v>
      </c>
      <c r="E23" s="3" t="s">
        <v>269</v>
      </c>
      <c r="F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</row>
    <row r="25" customFormat="false" ht="15" hidden="false" customHeight="false" outlineLevel="0" collapsed="false">
      <c r="A25" s="9" t="s">
        <v>270</v>
      </c>
      <c r="B25" s="66" t="n">
        <f aca="false">(B19+B20)*1000000*B21*B22</f>
        <v>28800</v>
      </c>
      <c r="C25" s="66" t="n">
        <f aca="false">(C19+C20)*1000000*C21*C22</f>
        <v>960</v>
      </c>
      <c r="D25" s="66" t="n">
        <f aca="false">(D19+D20)*1000000*D21*D22</f>
        <v>15</v>
      </c>
      <c r="E25" s="1"/>
      <c r="F25" s="1"/>
    </row>
    <row r="26" customFormat="false" ht="15" hidden="false" customHeight="false" outlineLevel="0" collapsed="false">
      <c r="A26" s="9" t="s">
        <v>271</v>
      </c>
      <c r="B26" s="82" t="n">
        <f aca="false">B25*B23/1000</f>
        <v>115.2</v>
      </c>
      <c r="C26" s="82" t="n">
        <f aca="false">C25*C23/1000</f>
        <v>14.4</v>
      </c>
      <c r="D26" s="82" t="n">
        <f aca="false">D25*D23/1000</f>
        <v>6</v>
      </c>
      <c r="E26" s="1"/>
      <c r="F26" s="1"/>
    </row>
    <row r="27" customFormat="false" ht="15" hidden="false" customHeight="false" outlineLevel="0" collapsed="false">
      <c r="A27" s="9" t="s">
        <v>272</v>
      </c>
      <c r="B27" s="82" t="n">
        <f aca="false">B19*Inputs!$E$19+B20*Inputs!$E$20</f>
        <v>114</v>
      </c>
      <c r="C27" s="82" t="n">
        <f aca="false">C19*Inputs!$E$19+C20*Inputs!$E$20</f>
        <v>60</v>
      </c>
      <c r="D27" s="82" t="n">
        <f aca="false">D19*Inputs!$E$19+D20*Inputs!$E$20</f>
        <v>18</v>
      </c>
      <c r="E27" s="1"/>
      <c r="F27" s="1"/>
    </row>
    <row r="28" customFormat="false" ht="15" hidden="false" customHeight="false" outlineLevel="0" collapsed="false">
      <c r="A28" s="9" t="s">
        <v>273</v>
      </c>
      <c r="B28" s="83" t="n">
        <f aca="false">IFERROR(B26/B27,0)</f>
        <v>1.01052631578947</v>
      </c>
      <c r="C28" s="83" t="n">
        <f aca="false">IFERROR(C26/C27,0)</f>
        <v>0.24</v>
      </c>
      <c r="D28" s="83" t="n">
        <f aca="false">IFERROR(D26/D27,0)</f>
        <v>0.333333333333333</v>
      </c>
      <c r="E28" s="1"/>
      <c r="F28" s="1"/>
    </row>
    <row r="29" customFormat="false" ht="15" hidden="false" customHeight="false" outlineLevel="0" collapsed="false">
      <c r="A29" s="9" t="s">
        <v>274</v>
      </c>
      <c r="B29" s="84" t="n">
        <f aca="false">IFERROR(B27*1000/B25,0)</f>
        <v>3.95833333333333</v>
      </c>
      <c r="C29" s="84" t="n">
        <f aca="false">IFERROR(C27*1000/C25,0)</f>
        <v>62.5</v>
      </c>
      <c r="D29" s="84" t="n">
        <f aca="false">IFERROR(D27*1000/D25,0)</f>
        <v>1200</v>
      </c>
      <c r="E29" s="1"/>
      <c r="F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9" t="s">
        <v>275</v>
      </c>
      <c r="B31" s="1"/>
      <c r="C31" s="1"/>
      <c r="D31" s="1"/>
      <c r="E31" s="1"/>
      <c r="F31" s="1"/>
    </row>
    <row r="32" customFormat="false" ht="33.75" hidden="false" customHeight="true" outlineLevel="0" collapsed="false">
      <c r="A32" s="19" t="s">
        <v>243</v>
      </c>
      <c r="B32" s="85" t="s">
        <v>276</v>
      </c>
      <c r="C32" s="85"/>
      <c r="D32" s="85"/>
      <c r="E32" s="85"/>
      <c r="F32" s="1"/>
    </row>
    <row r="33" customFormat="false" ht="33.75" hidden="false" customHeight="true" outlineLevel="0" collapsed="false">
      <c r="A33" s="19" t="s">
        <v>244</v>
      </c>
      <c r="B33" s="85" t="s">
        <v>277</v>
      </c>
      <c r="C33" s="85"/>
      <c r="D33" s="85"/>
      <c r="E33" s="85"/>
      <c r="F33" s="1"/>
    </row>
    <row r="34" customFormat="false" ht="33.75" hidden="false" customHeight="true" outlineLevel="0" collapsed="false">
      <c r="A34" s="19" t="s">
        <v>245</v>
      </c>
      <c r="B34" s="85" t="s">
        <v>278</v>
      </c>
      <c r="C34" s="85"/>
      <c r="D34" s="85"/>
      <c r="E34" s="85"/>
      <c r="F34" s="1"/>
    </row>
  </sheetData>
  <mergeCells count="3">
    <mergeCell ref="B32:E32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6" t="s">
        <v>279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8" t="s">
        <v>280</v>
      </c>
      <c r="B3" s="8" t="s">
        <v>281</v>
      </c>
      <c r="C3" s="8" t="s">
        <v>282</v>
      </c>
      <c r="D3" s="8" t="s">
        <v>283</v>
      </c>
    </row>
    <row r="4" customFormat="false" ht="26.85" hidden="false" customHeight="false" outlineLevel="0" collapsed="false">
      <c r="A4" s="32" t="n">
        <v>1</v>
      </c>
      <c r="B4" s="32" t="s">
        <v>284</v>
      </c>
      <c r="C4" s="32" t="s">
        <v>285</v>
      </c>
      <c r="D4" s="86" t="s">
        <v>286</v>
      </c>
    </row>
    <row r="5" customFormat="false" ht="26.85" hidden="false" customHeight="false" outlineLevel="0" collapsed="false">
      <c r="A5" s="32" t="n">
        <v>2</v>
      </c>
      <c r="B5" s="32" t="s">
        <v>287</v>
      </c>
      <c r="C5" s="32" t="s">
        <v>288</v>
      </c>
      <c r="D5" s="86" t="s">
        <v>289</v>
      </c>
    </row>
    <row r="6" customFormat="false" ht="26.85" hidden="false" customHeight="false" outlineLevel="0" collapsed="false">
      <c r="A6" s="32" t="n">
        <v>3</v>
      </c>
      <c r="B6" s="32" t="s">
        <v>290</v>
      </c>
      <c r="C6" s="32" t="s">
        <v>291</v>
      </c>
      <c r="D6" s="86" t="s">
        <v>292</v>
      </c>
    </row>
    <row r="7" customFormat="false" ht="26.85" hidden="false" customHeight="false" outlineLevel="0" collapsed="false">
      <c r="A7" s="32" t="n">
        <v>4</v>
      </c>
      <c r="B7" s="32" t="s">
        <v>293</v>
      </c>
      <c r="C7" s="32" t="s">
        <v>294</v>
      </c>
      <c r="D7" s="86" t="s">
        <v>295</v>
      </c>
    </row>
    <row r="8" customFormat="false" ht="26.85" hidden="false" customHeight="false" outlineLevel="0" collapsed="false">
      <c r="A8" s="32" t="n">
        <v>5</v>
      </c>
      <c r="B8" s="32" t="s">
        <v>296</v>
      </c>
      <c r="C8" s="32" t="s">
        <v>297</v>
      </c>
      <c r="D8" s="86" t="s">
        <v>298</v>
      </c>
    </row>
    <row r="9" customFormat="false" ht="26.85" hidden="false" customHeight="false" outlineLevel="0" collapsed="false">
      <c r="A9" s="32" t="n">
        <v>6</v>
      </c>
      <c r="B9" s="32" t="s">
        <v>299</v>
      </c>
      <c r="C9" s="32" t="s">
        <v>300</v>
      </c>
      <c r="D9" s="86" t="s">
        <v>301</v>
      </c>
    </row>
    <row r="10" customFormat="false" ht="15" hidden="false" customHeight="false" outlineLevel="0" collapsed="false">
      <c r="A10" s="32" t="n">
        <v>7</v>
      </c>
      <c r="B10" s="32" t="s">
        <v>302</v>
      </c>
      <c r="C10" s="32" t="s">
        <v>303</v>
      </c>
      <c r="D10" s="86" t="s">
        <v>304</v>
      </c>
    </row>
    <row r="11" customFormat="false" ht="26.85" hidden="false" customHeight="false" outlineLevel="0" collapsed="false">
      <c r="A11" s="32" t="n">
        <v>8</v>
      </c>
      <c r="B11" s="32" t="s">
        <v>305</v>
      </c>
      <c r="C11" s="32" t="s">
        <v>306</v>
      </c>
      <c r="D11" s="86" t="s">
        <v>307</v>
      </c>
    </row>
    <row r="12" customFormat="false" ht="26.85" hidden="false" customHeight="false" outlineLevel="0" collapsed="false">
      <c r="A12" s="32" t="n">
        <v>9</v>
      </c>
      <c r="B12" s="32" t="s">
        <v>308</v>
      </c>
      <c r="C12" s="32" t="s">
        <v>309</v>
      </c>
      <c r="D12" s="86" t="s">
        <v>310</v>
      </c>
    </row>
    <row r="13" customFormat="false" ht="26.85" hidden="false" customHeight="false" outlineLevel="0" collapsed="false">
      <c r="A13" s="32" t="n">
        <v>10</v>
      </c>
      <c r="B13" s="32" t="s">
        <v>311</v>
      </c>
      <c r="C13" s="32" t="s">
        <v>312</v>
      </c>
      <c r="D13" s="86" t="s">
        <v>313</v>
      </c>
    </row>
    <row r="14" customFormat="false" ht="15" hidden="false" customHeight="false" outlineLevel="0" collapsed="false">
      <c r="A14" s="32" t="n">
        <v>11</v>
      </c>
      <c r="B14" s="32" t="s">
        <v>314</v>
      </c>
      <c r="C14" s="32" t="s">
        <v>315</v>
      </c>
      <c r="D14" s="86" t="s">
        <v>316</v>
      </c>
    </row>
    <row r="15" customFormat="false" ht="26.85" hidden="false" customHeight="false" outlineLevel="0" collapsed="false">
      <c r="A15" s="32" t="n">
        <v>12</v>
      </c>
      <c r="B15" s="32" t="s">
        <v>317</v>
      </c>
      <c r="C15" s="32" t="s">
        <v>318</v>
      </c>
      <c r="D15" s="86" t="s">
        <v>319</v>
      </c>
    </row>
    <row r="16" customFormat="false" ht="26.85" hidden="false" customHeight="false" outlineLevel="0" collapsed="false">
      <c r="A16" s="32" t="n">
        <v>13</v>
      </c>
      <c r="B16" s="32" t="s">
        <v>320</v>
      </c>
      <c r="C16" s="32" t="s">
        <v>321</v>
      </c>
      <c r="D16" s="86" t="s">
        <v>322</v>
      </c>
    </row>
    <row r="17" customFormat="false" ht="15" hidden="false" customHeight="false" outlineLevel="0" collapsed="false">
      <c r="A17" s="32" t="n">
        <v>14</v>
      </c>
      <c r="B17" s="32" t="s">
        <v>323</v>
      </c>
      <c r="C17" s="32" t="s">
        <v>324</v>
      </c>
      <c r="D17" s="86" t="s">
        <v>325</v>
      </c>
    </row>
    <row r="18" customFormat="false" ht="26.85" hidden="false" customHeight="false" outlineLevel="0" collapsed="false">
      <c r="A18" s="32" t="n">
        <v>15</v>
      </c>
      <c r="B18" s="32" t="s">
        <v>326</v>
      </c>
      <c r="C18" s="32" t="s">
        <v>327</v>
      </c>
      <c r="D18" s="86" t="s">
        <v>328</v>
      </c>
    </row>
    <row r="19" customFormat="false" ht="15" hidden="false" customHeight="false" outlineLevel="0" collapsed="false">
      <c r="A19" s="32" t="n">
        <v>16</v>
      </c>
      <c r="B19" s="32" t="s">
        <v>329</v>
      </c>
      <c r="C19" s="32" t="s">
        <v>330</v>
      </c>
      <c r="D19" s="86" t="s">
        <v>331</v>
      </c>
    </row>
    <row r="20" customFormat="false" ht="26.85" hidden="false" customHeight="false" outlineLevel="0" collapsed="false">
      <c r="A20" s="32" t="n">
        <v>17</v>
      </c>
      <c r="B20" s="32" t="s">
        <v>332</v>
      </c>
      <c r="C20" s="32" t="s">
        <v>333</v>
      </c>
      <c r="D20" s="86" t="s">
        <v>334</v>
      </c>
    </row>
    <row r="21" customFormat="false" ht="15" hidden="false" customHeight="false" outlineLevel="0" collapsed="false">
      <c r="A21" s="32" t="n">
        <v>18</v>
      </c>
      <c r="B21" s="32" t="s">
        <v>335</v>
      </c>
      <c r="C21" s="32" t="s">
        <v>336</v>
      </c>
      <c r="D21" s="86" t="s">
        <v>337</v>
      </c>
    </row>
    <row r="22" customFormat="false" ht="26.85" hidden="false" customHeight="false" outlineLevel="0" collapsed="false">
      <c r="A22" s="32" t="n">
        <v>19</v>
      </c>
      <c r="B22" s="32" t="s">
        <v>338</v>
      </c>
      <c r="C22" s="32" t="s">
        <v>339</v>
      </c>
      <c r="D22" s="86" t="s">
        <v>340</v>
      </c>
    </row>
  </sheetData>
  <hyperlinks>
    <hyperlink ref="D4" r:id="rId1" display="https://vidiq.com/youtube-stats/channel/@sidemen/"/>
    <hyperlink ref="D5" r:id="rId2" display="https://outlierkit.com/channel/sidemen"/>
    <hyperlink ref="D6" r:id="rId3" display="https://en.wikipedia.org/wiki/Sidemen_Charity_Match"/>
    <hyperlink ref="D7" r:id="rId4" display="https://www.tubefilter.com/2026/04/20/sidemen-charity-soccer-football-match-2026-results-highlights/"/>
    <hyperlink ref="D8" r:id="rId5" display="https://www.tubefilter.com/?p=185173"/>
    <hyperlink ref="D9" r:id="rId6" display="https://mobilemarketingmagazine.com/?p=126104"/>
    <hyperlink ref="D10" r:id="rId7" display="https://influencermarketinghub.com/youtube-influencer-rates"/>
    <hyperlink ref="D11" r:id="rId8" display="https://investor.gopro.com/press-releases/press-release-details/2026/GoPro-Announces-Fourth-Quarter-and-2025-Results/"/>
    <hyperlink ref="D12" r:id="rId9" display="https://www.sec.gov/Archives/edgar/data/1500435/000150043526000006/gpro-20251231.htm"/>
    <hyperlink ref="D13" r:id="rId10" display="https://bicycleretailer.com/industry-news/2025/11/07/retail-and-online-sales-dip-overall-gopro-revenue-declines-37-year-over"/>
    <hyperlink ref="D14" r:id="rId11" display="https://pricespy.co.uk/s/gopro-13-black/"/>
    <hyperlink ref="D15" r:id="rId12" display="https://www.tubefilter.com/2025/05/15/sidemen-venture-capital-firm-upside-invest-creator-economy/"/>
    <hyperlink ref="D16" r:id="rId13" display="https://thinklikeacreator.beehiiv.com/p/the-sidemen-just-launched-a-25m-vc-fund"/>
    <hyperlink ref="D17" r:id="rId14" display="https://techcrunch.com/2024/09/13/howbout-raises-8m-from-goodwater-to-build-a-calendar-that-you-can-share-with-your-friends"/>
    <hyperlink ref="D18" r:id="rId15" display="https://siliconrepublic.com/?p=1076774"/>
    <hyperlink ref="D19" r:id="rId16" display="https://www.foundermade.com/brands-resources/nimbi"/>
    <hyperlink ref="D20" r:id="rId17" display="https://hellopartner.com/best-brand-engagement-campaign-digital-voices-duolingo/"/>
    <hyperlink ref="D21" r:id="rId18" display="https://www.modash.io/content-library/brands/monopoly-go-examples"/>
    <hyperlink ref="D22" r:id="rId19" display="https://www.whoop.com/us/en/press-center/whoop-r-joins-the-british-and-irish-lions-as-official-supplier-for-the-qata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2026-10-19T16:38:19Z</dcterms:created>
  <dc:creator>openpyxl</dc:creator>
  <dc:description/>
  <dc:language>en-US</dc:language>
  <cp:lastModifiedBy/>
  <dcterms:modified xsi:type="dcterms:W3CDTF">2026-10-19T17:38:20Z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